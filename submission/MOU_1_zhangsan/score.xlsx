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myCPU计算" sheetId="1" r:id="rId1"/>
    <sheet name="openla500运行结果" sheetId="2" r:id="rId2"/>
  </sheets>
  <definedNames>
    <definedName name="_xlnm._FilterDatabase" localSheetId="0" hidden="1">myCPU计算!$B$7:$E$8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<sst xmlns="http://schemas.openxmlformats.org/spreadsheetml/2006/main" count="105" uniqueCount="71">
  <si>
    <t>队名</t>
  </si>
  <si>
    <t>学校</t>
  </si>
  <si>
    <t>队员</t>
  </si>
  <si>
    <t>指导老师</t>
  </si>
  <si>
    <t>一、功能测试分数计算</t>
  </si>
  <si>
    <t>myCPU接口类型</t>
  </si>
  <si>
    <t>58个功能点通过数</t>
  </si>
  <si>
    <t>axi接口</t>
  </si>
  <si>
    <r>
      <rPr>
        <sz val="11"/>
        <color theme="1"/>
        <rFont val="宋体"/>
        <charset val="134"/>
        <scheme val="minor"/>
      </rPr>
      <t>注1：AXI</t>
    </r>
    <r>
      <rPr>
        <sz val="11"/>
        <color rgb="FF000000"/>
        <rFont val="宋体"/>
        <charset val="134"/>
      </rPr>
      <t>/58*100</t>
    </r>
    <r>
      <rPr>
        <sz val="11"/>
        <color theme="1"/>
        <rFont val="宋体"/>
        <charset val="134"/>
        <scheme val="minor"/>
      </rPr>
      <t>；</t>
    </r>
  </si>
  <si>
    <t>注2：AXI接口运算功能点测试的通过指标是：上板时任意切换随机种子，都通过；</t>
  </si>
  <si>
    <r>
      <rPr>
        <sz val="11"/>
        <color theme="1"/>
        <rFont val="宋体"/>
        <charset val="134"/>
        <scheme val="minor"/>
      </rPr>
      <t>注3：根据功能测试结果，填写黄色区域，</t>
    </r>
    <r>
      <rPr>
        <b/>
        <sz val="11"/>
        <color rgb="FFFF0000"/>
        <rFont val="宋体"/>
        <charset val="134"/>
      </rPr>
      <t>不要更改单元格格式；</t>
    </r>
  </si>
  <si>
    <t>注4：右侧红色部分自动计算功能得分；</t>
  </si>
  <si>
    <t>功能分</t>
  </si>
  <si>
    <t>二、性能测试分数计算</t>
  </si>
  <si>
    <t>序号</t>
  </si>
  <si>
    <t>测试程序</t>
  </si>
  <si>
    <t>myCPU</t>
  </si>
  <si>
    <t>openla500</t>
  </si>
  <si>
    <r>
      <rPr>
        <sz val="11"/>
        <color theme="1"/>
        <rFont val="宋体"/>
        <charset val="134"/>
        <scheme val="minor"/>
      </rPr>
      <t>T</t>
    </r>
    <r>
      <rPr>
        <vertAlign val="subscript"/>
        <sz val="11"/>
        <color rgb="FF000000"/>
        <rFont val="宋体"/>
        <charset val="134"/>
      </rPr>
      <t>openla500</t>
    </r>
    <r>
      <rPr>
        <sz val="11"/>
        <color theme="1"/>
        <rFont val="宋体"/>
        <charset val="134"/>
        <scheme val="minor"/>
      </rPr>
      <t>/T</t>
    </r>
    <r>
      <rPr>
        <vertAlign val="subscript"/>
        <sz val="11"/>
        <color rgb="FF000000"/>
        <rFont val="宋体"/>
        <charset val="134"/>
      </rPr>
      <t>mycpu</t>
    </r>
  </si>
  <si>
    <t>性能分</t>
  </si>
  <si>
    <r>
      <rPr>
        <b/>
        <sz val="11"/>
        <color rgb="FF000000"/>
        <rFont val="宋体"/>
        <charset val="134"/>
      </rPr>
      <t>上板计时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</si>
  <si>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r>
      <rPr>
        <b/>
        <sz val="11"/>
        <color rgb="FF000000"/>
        <rFont val="宋体"/>
        <charset val="134"/>
      </rPr>
      <t>上板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</si>
  <si>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t>CPU频率（MHz）</t>
  </si>
  <si>
    <r>
      <rPr>
        <b/>
        <sz val="11"/>
        <color rgb="FF000000"/>
        <rFont val="宋体"/>
        <charset val="134"/>
      </rPr>
      <t>数码管显示
（SoC Count）
（</t>
    </r>
    <r>
      <rPr>
        <b/>
        <sz val="11"/>
        <color rgb="FFFF0000"/>
        <rFont val="宋体"/>
        <charset val="134"/>
      </rPr>
      <t>最左开关拨上</t>
    </r>
    <r>
      <rPr>
        <b/>
        <sz val="11"/>
        <color rgb="FF000000"/>
        <rFont val="宋体"/>
        <charset val="134"/>
      </rPr>
      <t>）</t>
    </r>
  </si>
  <si>
    <t>数码管显示
（SoC Count）</t>
  </si>
  <si>
    <t>cpu_clk : sys_clk</t>
  </si>
  <si>
    <t>50MHz : 100MHz</t>
  </si>
  <si>
    <t>40MHz : 100MHz</t>
  </si>
  <si>
    <t>-</t>
  </si>
  <si>
    <t>bitcount</t>
  </si>
  <si>
    <t>0</t>
  </si>
  <si>
    <t>d1612</t>
  </si>
  <si>
    <t>bubble_sort</t>
  </si>
  <si>
    <t>3ca393</t>
  </si>
  <si>
    <t>coremark</t>
  </si>
  <si>
    <t>aa6379</t>
  </si>
  <si>
    <t>crc32</t>
  </si>
  <si>
    <t>7f8c71</t>
  </si>
  <si>
    <t>dhrystone</t>
  </si>
  <si>
    <t>15acff</t>
  </si>
  <si>
    <t>quick_sort</t>
  </si>
  <si>
    <t>41a98f</t>
  </si>
  <si>
    <t>select_sort</t>
  </si>
  <si>
    <t>275f21</t>
  </si>
  <si>
    <t>sha</t>
  </si>
  <si>
    <t>4aa29a</t>
  </si>
  <si>
    <t>stream_copy</t>
  </si>
  <si>
    <t>3e2bd</t>
  </si>
  <si>
    <t>stringsearch</t>
  </si>
  <si>
    <t>32ce13</t>
  </si>
  <si>
    <r>
      <rPr>
        <sz val="11"/>
        <color theme="1"/>
        <rFont val="宋体"/>
        <charset val="134"/>
        <scheme val="minor"/>
      </rPr>
      <t>注1：根据myCPU运行时间填写黄色区域，</t>
    </r>
    <r>
      <rPr>
        <b/>
        <sz val="11"/>
        <color indexed="10"/>
        <rFont val="宋体"/>
        <charset val="134"/>
      </rPr>
      <t>不要更改单元格格式，</t>
    </r>
    <r>
      <rPr>
        <sz val="11"/>
        <color indexed="8"/>
        <rFont val="宋体"/>
        <charset val="134"/>
      </rPr>
      <t>填写格式为16进制数，分别填写：上板cpu_clk与</t>
    </r>
    <r>
      <rPr>
        <sz val="11"/>
        <color indexed="8"/>
        <rFont val="宋体"/>
        <charset val="134"/>
      </rPr>
      <t>sys</t>
    </r>
    <r>
      <rPr>
        <sz val="11"/>
        <color indexed="8"/>
        <rFont val="宋体"/>
        <charset val="134"/>
      </rPr>
      <t>_clk的频率，上板计时；</t>
    </r>
  </si>
  <si>
    <t>注2：表格中计时结果为上板时性能测试通过时的数码管显示。</t>
  </si>
  <si>
    <t>注3：如果某性能测试程序不通过，则对应仿真计时和上板计时项填为0，此时该项与openla500比值按0.1算，最终预赛评分时可能会调整；</t>
  </si>
  <si>
    <t>注4：灰色部分为固定项，不可修改；</t>
  </si>
  <si>
    <t>注5：橙色部分为自动计算，不可修改；</t>
  </si>
  <si>
    <t>注6：红色部分自动计算性能得分。</t>
  </si>
  <si>
    <t>数码管显示</t>
  </si>
  <si>
    <t>fireye_D1</t>
  </si>
  <si>
    <t>466edc</t>
  </si>
  <si>
    <t>fireye_I2</t>
  </si>
  <si>
    <t>481581</t>
  </si>
  <si>
    <t>inner_product</t>
  </si>
  <si>
    <t>167b7a3</t>
  </si>
  <si>
    <t>lookup_table</t>
  </si>
  <si>
    <t>692058</t>
  </si>
  <si>
    <t>loop_induction</t>
  </si>
  <si>
    <t>f413bb</t>
  </si>
  <si>
    <t>my_memcmp</t>
  </si>
  <si>
    <t>5895c9</t>
  </si>
  <si>
    <t>minmax_sequence</t>
  </si>
  <si>
    <t>848ec1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</si>
</sst>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</numFmts>
  <fonts count="3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name val="Times New Roman"/>
      <charset val="134"/>
    </font>
    <font>
      <b/>
      <sz val="14"/>
      <color theme="1"/>
      <name val="宋体"/>
      <charset val="134"/>
      <scheme val="minor"/>
    </font>
    <font>
      <sz val="14"/>
      <name val="仿宋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8"/>
      <name val="Times New Roman"/>
      <charset val="134"/>
    </font>
    <font>
      <b/>
      <sz val="11"/>
      <color indexed="8"/>
      <name val="宋体"/>
      <charset val="134"/>
    </font>
    <font>
      <sz val="11"/>
      <color rgb="FF000000"/>
      <name val="宋体"/>
      <charset val="134"/>
    </font>
    <font>
      <b/>
      <sz val="11"/>
      <color rgb="FFFF0000"/>
      <name val="宋体"/>
      <charset val="134"/>
    </font>
    <font>
      <vertAlign val="subscript"/>
      <sz val="11"/>
      <color rgb="FF000000"/>
      <name val="宋体"/>
      <charset val="134"/>
    </font>
    <font>
      <b/>
      <sz val="11"/>
      <color indexed="10"/>
      <name val="宋体"/>
      <charset val="134"/>
    </font>
    <font>
      <sz val="11"/>
      <color indexed="8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"/>
        <bgColor theme="1"/>
      </patternFill>
    </fill>
    <fill>
      <patternFill patternType="solid">
        <fgColor rgb="FFFFFF66"/>
        <bgColor theme="1"/>
      </patternFill>
    </fill>
    <fill>
      <patternFill patternType="solid">
        <fgColor theme="0" tint="-0.14996795556505"/>
        <bgColor theme="1"/>
      </patternFill>
    </fill>
    <fill>
      <patternFill patternType="solid">
        <fgColor rgb="FFFF5050"/>
        <bgColor indexed="64"/>
      </patternFill>
    </fill>
    <fill>
      <patternFill patternType="solid">
        <fgColor theme="9" tint="0.599993896298105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Border="1">
      <alignment vertical="center"/>
    </xf>
    <xf numFmtId="0" fontId="5" fillId="3" borderId="0" xfId="0" applyFont="1" applyFill="1" applyBorder="1">
      <alignment vertical="center"/>
    </xf>
    <xf numFmtId="0" fontId="0" fillId="3" borderId="0" xfId="0" applyFill="1" applyBorder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49" fontId="6" fillId="5" borderId="2" xfId="0" applyNumberFormat="1" applyFont="1" applyFill="1" applyBorder="1" applyAlignment="1" applyProtection="1">
      <alignment horizontal="center" vertical="center" wrapText="1"/>
    </xf>
    <xf numFmtId="49" fontId="6" fillId="5" borderId="3" xfId="0" applyNumberFormat="1" applyFont="1" applyFill="1" applyBorder="1" applyAlignment="1" applyProtection="1">
      <alignment horizontal="center" vertical="center" wrapText="1"/>
    </xf>
    <xf numFmtId="49" fontId="6" fillId="5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 applyProtection="1">
      <alignment horizontal="center" vertical="center" wrapText="1"/>
    </xf>
    <xf numFmtId="0" fontId="1" fillId="6" borderId="1" xfId="0" applyFont="1" applyFill="1" applyBorder="1" applyAlignment="1" applyProtection="1">
      <alignment horizontal="center" vertical="center" wrapText="1"/>
    </xf>
    <xf numFmtId="176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3" borderId="0" xfId="0" applyFont="1" applyFill="1" applyBorder="1">
      <alignment vertical="center"/>
    </xf>
    <xf numFmtId="0" fontId="0" fillId="3" borderId="0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0" xfId="0" applyFont="1" applyFill="1" applyBorder="1" applyProtection="1">
      <alignment vertical="center"/>
    </xf>
    <xf numFmtId="0" fontId="0" fillId="3" borderId="4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 applyProtection="1">
      <alignment horizontal="center" vertical="center" wrapText="1"/>
    </xf>
    <xf numFmtId="49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" xfId="0" applyFont="1" applyFill="1" applyBorder="1" applyAlignment="1" applyProtection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8" borderId="1" xfId="0" applyFont="1" applyFill="1" applyBorder="1" applyAlignment="1">
      <alignment horizontal="center" vertical="center"/>
    </xf>
    <xf numFmtId="0" fontId="9" fillId="3" borderId="0" xfId="0" applyFont="1" applyFill="1" applyBorder="1">
      <alignment vertical="center"/>
    </xf>
    <xf numFmtId="177" fontId="5" fillId="7" borderId="1" xfId="0" applyNumberFormat="1" applyFont="1" applyFill="1" applyBorder="1" applyAlignment="1" applyProtection="1">
      <alignment horizontal="center" vertical="center"/>
    </xf>
    <xf numFmtId="177" fontId="5" fillId="7" borderId="1" xfId="0" applyNumberFormat="1" applyFont="1" applyFill="1" applyBorder="1" applyAlignment="1">
      <alignment horizontal="center" vertical="center"/>
    </xf>
    <xf numFmtId="0" fontId="0" fillId="3" borderId="0" xfId="0" applyFill="1" applyBorder="1" applyProtection="1">
      <alignment vertical="center"/>
    </xf>
    <xf numFmtId="0" fontId="0" fillId="9" borderId="5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37"/>
  <sheetViews>
    <sheetView tabSelected="1" zoomScale="85" zoomScaleNormal="85" topLeftCell="A11" workbookViewId="0">
      <selection activeCell="E25" sqref="E25"/>
    </sheetView>
  </sheetViews>
  <sheetFormatPr defaultColWidth="9" defaultRowHeight="21.75" customHeight="1"/>
  <cols>
    <col min="1" max="1" width="5.12389380530973" style="10" customWidth="1"/>
    <col min="2" max="2" width="14.2477876106195" style="10" customWidth="1"/>
    <col min="3" max="3" width="18.7522123893805" style="10" customWidth="1"/>
    <col min="4" max="4" width="17.7522123893805" style="10" customWidth="1"/>
    <col min="5" max="5" width="15" style="10" customWidth="1"/>
    <col min="6" max="6" width="14.2477876106195" style="10" customWidth="1"/>
    <col min="7" max="7" width="3.12389380530973" style="10" customWidth="1"/>
    <col min="8" max="8" width="20.5840707964602" style="10" customWidth="1"/>
    <col min="9" max="9" width="16.6283185840708" style="10" customWidth="1"/>
    <col min="10" max="16384" width="9" style="10"/>
  </cols>
  <sheetData>
    <row r="2" s="8" customFormat="1" customHeight="1" spans="1:7">
      <c r="A2" s="10"/>
      <c r="B2" s="11" t="s">
        <v>0</v>
      </c>
      <c r="C2" s="12"/>
      <c r="D2" s="13"/>
      <c r="E2" s="11" t="s">
        <v>1</v>
      </c>
      <c r="F2" s="12"/>
      <c r="G2" s="13"/>
    </row>
    <row r="3" s="8" customFormat="1" customHeight="1" spans="1:7">
      <c r="A3" s="10"/>
      <c r="B3" s="11" t="s">
        <v>2</v>
      </c>
      <c r="C3" s="14"/>
      <c r="D3" s="14"/>
      <c r="E3" s="11" t="s">
        <v>3</v>
      </c>
      <c r="F3" s="14"/>
      <c r="G3" s="14"/>
    </row>
    <row r="4" s="8" customFormat="1" customHeight="1" spans="1:7">
      <c r="A4" s="10"/>
      <c r="B4" s="15"/>
      <c r="C4" s="16"/>
      <c r="D4" s="16"/>
      <c r="E4" s="15"/>
      <c r="F4" s="16"/>
      <c r="G4" s="16"/>
    </row>
    <row r="5" s="9" customFormat="1" customHeight="1" spans="1:1">
      <c r="A5" s="9" t="s">
        <v>4</v>
      </c>
    </row>
    <row r="7" customHeight="1" spans="2:3">
      <c r="B7" s="17" t="s">
        <v>5</v>
      </c>
      <c r="C7" s="17" t="s">
        <v>6</v>
      </c>
    </row>
    <row r="8" customHeight="1" spans="2:3">
      <c r="B8" s="17" t="s">
        <v>7</v>
      </c>
      <c r="C8" s="18">
        <v>0</v>
      </c>
    </row>
    <row r="10" customHeight="1" spans="1:1">
      <c r="A10" s="19" t="s">
        <v>8</v>
      </c>
    </row>
    <row r="11" customHeight="1" spans="1:1">
      <c r="A11" s="10" t="s">
        <v>9</v>
      </c>
    </row>
    <row r="12" customHeight="1" spans="1:6">
      <c r="A12" s="19" t="s">
        <v>10</v>
      </c>
      <c r="B12" s="20"/>
      <c r="C12" s="20"/>
      <c r="D12" s="20"/>
      <c r="E12" s="20"/>
      <c r="F12" s="20"/>
    </row>
    <row r="13" customHeight="1" spans="1:6">
      <c r="A13" s="10" t="s">
        <v>11</v>
      </c>
      <c r="B13" s="20"/>
      <c r="C13" s="20"/>
      <c r="D13" s="20"/>
      <c r="E13" s="20"/>
      <c r="F13" s="20"/>
    </row>
    <row r="14" customHeight="1" spans="8:9">
      <c r="H14" s="21" t="s">
        <v>12</v>
      </c>
      <c r="I14" s="33">
        <f>C8/58*100</f>
        <v>0</v>
      </c>
    </row>
    <row r="15" s="9" customFormat="1" customHeight="1" spans="1:6">
      <c r="A15" s="9" t="s">
        <v>13</v>
      </c>
      <c r="F15" s="22"/>
    </row>
    <row r="16" customHeight="1" spans="2:6">
      <c r="B16" s="23"/>
      <c r="C16" s="23"/>
      <c r="D16" s="23"/>
      <c r="E16" s="23"/>
      <c r="F16" s="23"/>
    </row>
    <row r="17" customHeight="1" spans="2:13">
      <c r="B17" s="17" t="s">
        <v>14</v>
      </c>
      <c r="C17" s="17" t="s">
        <v>15</v>
      </c>
      <c r="D17" s="24" t="s">
        <v>16</v>
      </c>
      <c r="E17" s="24" t="s">
        <v>17</v>
      </c>
      <c r="F17" s="25" t="s">
        <v>18</v>
      </c>
      <c r="H17" s="21" t="s">
        <v>19</v>
      </c>
      <c r="I17" s="34">
        <f>GEOMEAN(F21:F30)</f>
        <v>0.1</v>
      </c>
      <c r="M17" s="35"/>
    </row>
    <row r="18" customHeight="1" spans="2:9">
      <c r="B18" s="17"/>
      <c r="C18" s="17"/>
      <c r="D18" s="17" t="s">
        <v>20</v>
      </c>
      <c r="E18" s="17" t="s">
        <v>21</v>
      </c>
      <c r="F18" s="25"/>
      <c r="H18" s="21" t="s">
        <v>22</v>
      </c>
      <c r="I18" s="36"/>
    </row>
    <row r="19" ht="50" customHeight="1" spans="2:6">
      <c r="B19" s="17"/>
      <c r="C19" s="17"/>
      <c r="D19" s="17" t="s">
        <v>23</v>
      </c>
      <c r="E19" s="17" t="s">
        <v>24</v>
      </c>
      <c r="F19" s="25"/>
    </row>
    <row r="20" customHeight="1" spans="2:6">
      <c r="B20" s="26" t="s">
        <v>25</v>
      </c>
      <c r="C20" s="26"/>
      <c r="D20" s="27" t="s">
        <v>26</v>
      </c>
      <c r="E20" s="28" t="s">
        <v>27</v>
      </c>
      <c r="F20" s="29" t="s">
        <v>28</v>
      </c>
    </row>
    <row r="21" customHeight="1" spans="2:6">
      <c r="B21" s="26">
        <v>1</v>
      </c>
      <c r="C21" s="26" t="s">
        <v>29</v>
      </c>
      <c r="D21" s="30" t="s">
        <v>30</v>
      </c>
      <c r="E21" s="6" t="s">
        <v>31</v>
      </c>
      <c r="F21" s="31">
        <f t="shared" ref="F21:F30" si="0">IF(HEX2DEC(D21),HEX2DEC(E21)/HEX2DEC(D21),0.1)</f>
        <v>0.1</v>
      </c>
    </row>
    <row r="22" customHeight="1" spans="2:6">
      <c r="B22" s="26">
        <v>2</v>
      </c>
      <c r="C22" s="26" t="s">
        <v>32</v>
      </c>
      <c r="D22" s="30" t="s">
        <v>30</v>
      </c>
      <c r="E22" s="6" t="s">
        <v>33</v>
      </c>
      <c r="F22" s="31">
        <f t="shared" si="0"/>
        <v>0.1</v>
      </c>
    </row>
    <row r="23" customHeight="1" spans="2:6">
      <c r="B23" s="26">
        <v>3</v>
      </c>
      <c r="C23" s="26" t="s">
        <v>34</v>
      </c>
      <c r="D23" s="30" t="s">
        <v>30</v>
      </c>
      <c r="E23" s="6" t="s">
        <v>35</v>
      </c>
      <c r="F23" s="31">
        <f t="shared" si="0"/>
        <v>0.1</v>
      </c>
    </row>
    <row r="24" customHeight="1" spans="2:6">
      <c r="B24" s="26">
        <v>4</v>
      </c>
      <c r="C24" s="26" t="s">
        <v>36</v>
      </c>
      <c r="D24" s="30" t="s">
        <v>30</v>
      </c>
      <c r="E24" s="6" t="s">
        <v>37</v>
      </c>
      <c r="F24" s="31">
        <f t="shared" si="0"/>
        <v>0.1</v>
      </c>
    </row>
    <row r="25" customHeight="1" spans="2:6">
      <c r="B25" s="26">
        <v>5</v>
      </c>
      <c r="C25" s="26" t="s">
        <v>38</v>
      </c>
      <c r="D25" s="30" t="s">
        <v>30</v>
      </c>
      <c r="E25" s="6" t="s">
        <v>39</v>
      </c>
      <c r="F25" s="31">
        <f t="shared" si="0"/>
        <v>0.1</v>
      </c>
    </row>
    <row r="26" customHeight="1" spans="2:6">
      <c r="B26" s="26">
        <v>6</v>
      </c>
      <c r="C26" s="26" t="s">
        <v>40</v>
      </c>
      <c r="D26" s="30" t="s">
        <v>30</v>
      </c>
      <c r="E26" s="6" t="s">
        <v>41</v>
      </c>
      <c r="F26" s="31">
        <f t="shared" si="0"/>
        <v>0.1</v>
      </c>
    </row>
    <row r="27" customHeight="1" spans="2:6">
      <c r="B27" s="26">
        <v>7</v>
      </c>
      <c r="C27" s="26" t="s">
        <v>42</v>
      </c>
      <c r="D27" s="30" t="s">
        <v>30</v>
      </c>
      <c r="E27" s="6" t="s">
        <v>43</v>
      </c>
      <c r="F27" s="31">
        <f t="shared" si="0"/>
        <v>0.1</v>
      </c>
    </row>
    <row r="28" customHeight="1" spans="2:6">
      <c r="B28" s="26">
        <v>8</v>
      </c>
      <c r="C28" s="26" t="s">
        <v>44</v>
      </c>
      <c r="D28" s="30" t="s">
        <v>30</v>
      </c>
      <c r="E28" s="6" t="s">
        <v>45</v>
      </c>
      <c r="F28" s="31">
        <f t="shared" si="0"/>
        <v>0.1</v>
      </c>
    </row>
    <row r="29" customHeight="1" spans="2:6">
      <c r="B29" s="26">
        <v>9</v>
      </c>
      <c r="C29" s="26" t="s">
        <v>46</v>
      </c>
      <c r="D29" s="30" t="s">
        <v>30</v>
      </c>
      <c r="E29" s="6" t="s">
        <v>47</v>
      </c>
      <c r="F29" s="31">
        <f t="shared" si="0"/>
        <v>0.1</v>
      </c>
    </row>
    <row r="30" customHeight="1" spans="2:6">
      <c r="B30" s="26">
        <v>10</v>
      </c>
      <c r="C30" s="4" t="s">
        <v>48</v>
      </c>
      <c r="D30" s="30" t="s">
        <v>30</v>
      </c>
      <c r="E30" s="6" t="s">
        <v>49</v>
      </c>
      <c r="F30" s="31">
        <f>IF(HEX2DEC(D30),HEX2DEC(E30)/HEX2DEC(D30),0.1)</f>
        <v>0.1</v>
      </c>
    </row>
    <row r="32" customHeight="1" spans="1:6">
      <c r="A32" s="19" t="s">
        <v>50</v>
      </c>
      <c r="B32" s="20"/>
      <c r="C32" s="20"/>
      <c r="D32" s="20"/>
      <c r="E32" s="20"/>
      <c r="F32" s="20"/>
    </row>
    <row r="33" customHeight="1" spans="1:6">
      <c r="A33" s="32" t="s">
        <v>51</v>
      </c>
      <c r="B33" s="20"/>
      <c r="C33" s="20"/>
      <c r="D33" s="20"/>
      <c r="E33" s="20"/>
      <c r="F33" s="20"/>
    </row>
    <row r="34" customHeight="1" spans="1:6">
      <c r="A34" s="32" t="s">
        <v>52</v>
      </c>
      <c r="B34" s="20"/>
      <c r="C34" s="20"/>
      <c r="D34" s="20"/>
      <c r="E34" s="20"/>
      <c r="F34" s="20"/>
    </row>
    <row r="35" customHeight="1" spans="1:6">
      <c r="A35" s="10" t="s">
        <v>53</v>
      </c>
      <c r="B35" s="20"/>
      <c r="C35" s="20"/>
      <c r="D35" s="20"/>
      <c r="E35" s="20"/>
      <c r="F35" s="20"/>
    </row>
    <row r="36" customHeight="1" spans="1:6">
      <c r="A36" s="10" t="s">
        <v>54</v>
      </c>
      <c r="B36" s="20"/>
      <c r="C36" s="20"/>
      <c r="D36" s="20"/>
      <c r="E36" s="20"/>
      <c r="F36" s="20"/>
    </row>
    <row r="37" customHeight="1" spans="1:6">
      <c r="A37" s="10" t="s">
        <v>55</v>
      </c>
      <c r="B37" s="20"/>
      <c r="C37" s="20"/>
      <c r="D37" s="20"/>
      <c r="E37" s="20"/>
      <c r="F37" s="20"/>
    </row>
  </sheetData>
  <sheetProtection password="8E9E" sheet="1" objects="1"/>
  <protectedRanges>
    <protectedRange sqref="C2:D3 F2:G3 C8 I18 D20:D30" name="允许修改"/>
  </protectedRanges>
  <mergeCells count="9">
    <mergeCell ref="C2:D2"/>
    <mergeCell ref="F2:G2"/>
    <mergeCell ref="C3:D3"/>
    <mergeCell ref="F3:G3"/>
    <mergeCell ref="B16:F16"/>
    <mergeCell ref="B20:C20"/>
    <mergeCell ref="B17:B19"/>
    <mergeCell ref="C17:C19"/>
    <mergeCell ref="F17:F19"/>
  </mergeCells>
  <dataValidations count="4">
    <dataValidation type="whole" operator="between" allowBlank="1" showInputMessage="1" showErrorMessage="1" errorTitle="输入无效" error="0~58；&#10;此项为58，则SRAM接口项一定要是0；&#10;此项为1~57，则SRAM接口项一定要是58；&#10;此项为0，则SRAM接口项可填任意。" promptTitle="AXI接口通过数" prompt="0~58；" sqref="C8">
      <formula1>0</formula1>
      <formula2>58</formula2>
    </dataValidation>
    <dataValidation type="whole" operator="between" allowBlank="1" showInputMessage="1" showErrorMessage="1" promptTitle="AXI接口通过数" prompt="0~89" sqref="C9">
      <formula1>0</formula1>
      <formula2>89</formula2>
    </dataValidation>
    <dataValidation allowBlank="1" showInputMessage="1" showErrorMessage="1" promptTitle="上板频率" prompt="格式为:XX MHz : 100MHz&#10;XX MHz为myCPU上板频率，timer_clk必须为100MHz" sqref="D20"/>
    <dataValidation allowBlank="1" showInputMessage="1" showErrorMessage="1" promptTitle="输入计时结果" prompt="要求为16进制数。&#10;如结果为0x144FF46，则填写144FF46。&#10;如果某一性能测试未通过，则填写0" sqref="D21:D28 D29:D30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E18" sqref="E18"/>
    </sheetView>
  </sheetViews>
  <sheetFormatPr defaultColWidth="15.7522123893805" defaultRowHeight="21" customHeight="1" outlineLevelCol="3"/>
  <cols>
    <col min="1" max="1" width="9.12389380530973" customWidth="1"/>
    <col min="2" max="2" width="14.5044247787611" customWidth="1"/>
    <col min="3" max="3" width="15.1238938053097" style="1" customWidth="1"/>
  </cols>
  <sheetData>
    <row r="1" customHeight="1" spans="1:3">
      <c r="A1" s="2" t="s">
        <v>14</v>
      </c>
      <c r="B1" s="2" t="s">
        <v>15</v>
      </c>
      <c r="C1" s="3" t="s">
        <v>21</v>
      </c>
    </row>
    <row r="2" customHeight="1" spans="1:3">
      <c r="A2" s="2"/>
      <c r="B2" s="2"/>
      <c r="C2" s="3" t="s">
        <v>56</v>
      </c>
    </row>
    <row r="3" customHeight="1" spans="1:3">
      <c r="A3" s="4" t="s">
        <v>25</v>
      </c>
      <c r="B3" s="4"/>
      <c r="C3" s="5" t="s">
        <v>27</v>
      </c>
    </row>
    <row r="4" customHeight="1" spans="1:3">
      <c r="A4" s="4">
        <v>1</v>
      </c>
      <c r="B4" s="4" t="s">
        <v>29</v>
      </c>
      <c r="C4" s="6" t="s">
        <v>31</v>
      </c>
    </row>
    <row r="5" customHeight="1" spans="1:3">
      <c r="A5" s="4">
        <v>2</v>
      </c>
      <c r="B5" s="4" t="s">
        <v>32</v>
      </c>
      <c r="C5" s="6" t="s">
        <v>33</v>
      </c>
    </row>
    <row r="6" customHeight="1" spans="1:4">
      <c r="A6" s="4">
        <v>3</v>
      </c>
      <c r="B6" s="4" t="s">
        <v>34</v>
      </c>
      <c r="C6" s="6" t="s">
        <v>35</v>
      </c>
      <c r="D6" s="7"/>
    </row>
    <row r="7" customHeight="1" spans="1:4">
      <c r="A7" s="4">
        <v>4</v>
      </c>
      <c r="B7" s="4" t="s">
        <v>36</v>
      </c>
      <c r="C7" s="6" t="s">
        <v>37</v>
      </c>
      <c r="D7" s="7"/>
    </row>
    <row r="8" customHeight="1" spans="1:3">
      <c r="A8" s="4">
        <v>5</v>
      </c>
      <c r="B8" s="4" t="s">
        <v>38</v>
      </c>
      <c r="C8" s="6" t="s">
        <v>39</v>
      </c>
    </row>
    <row r="9" customHeight="1" spans="1:3">
      <c r="A9" s="4">
        <v>6</v>
      </c>
      <c r="B9" s="4" t="s">
        <v>40</v>
      </c>
      <c r="C9" s="6" t="s">
        <v>41</v>
      </c>
    </row>
    <row r="10" customHeight="1" spans="1:3">
      <c r="A10" s="4">
        <v>7</v>
      </c>
      <c r="B10" s="4" t="s">
        <v>42</v>
      </c>
      <c r="C10" s="6" t="s">
        <v>43</v>
      </c>
    </row>
    <row r="11" customHeight="1" spans="1:3">
      <c r="A11" s="4">
        <v>8</v>
      </c>
      <c r="B11" s="4" t="s">
        <v>44</v>
      </c>
      <c r="C11" s="6" t="s">
        <v>45</v>
      </c>
    </row>
    <row r="12" customHeight="1" spans="1:3">
      <c r="A12" s="4">
        <v>9</v>
      </c>
      <c r="B12" s="4" t="s">
        <v>46</v>
      </c>
      <c r="C12" s="6" t="s">
        <v>47</v>
      </c>
    </row>
    <row r="13" customHeight="1" spans="1:3">
      <c r="A13" s="4">
        <v>10</v>
      </c>
      <c r="B13" s="4" t="s">
        <v>48</v>
      </c>
      <c r="C13" s="6" t="s">
        <v>49</v>
      </c>
    </row>
    <row r="14" customHeight="1" spans="1:3">
      <c r="A14" s="4">
        <v>11</v>
      </c>
      <c r="B14" s="4" t="s">
        <v>57</v>
      </c>
      <c r="C14" s="6" t="s">
        <v>58</v>
      </c>
    </row>
    <row r="15" customHeight="1" spans="1:3">
      <c r="A15" s="4">
        <v>12</v>
      </c>
      <c r="B15" s="4" t="s">
        <v>59</v>
      </c>
      <c r="C15" s="6" t="s">
        <v>60</v>
      </c>
    </row>
    <row r="16" customHeight="1" spans="1:3">
      <c r="A16" s="4">
        <v>13</v>
      </c>
      <c r="B16" s="4" t="s">
        <v>61</v>
      </c>
      <c r="C16" s="6" t="s">
        <v>62</v>
      </c>
    </row>
    <row r="17" customHeight="1" spans="1:3">
      <c r="A17" s="4">
        <v>14</v>
      </c>
      <c r="B17" s="4" t="s">
        <v>63</v>
      </c>
      <c r="C17" s="6" t="s">
        <v>64</v>
      </c>
    </row>
    <row r="18" customHeight="1" spans="1:3">
      <c r="A18" s="4">
        <v>15</v>
      </c>
      <c r="B18" s="4" t="s">
        <v>65</v>
      </c>
      <c r="C18" s="6" t="s">
        <v>66</v>
      </c>
    </row>
    <row r="19" customHeight="1" spans="1:3">
      <c r="A19" s="4">
        <v>16</v>
      </c>
      <c r="B19" s="4" t="s">
        <v>67</v>
      </c>
      <c r="C19" s="6" t="s">
        <v>68</v>
      </c>
    </row>
    <row r="20" customHeight="1" spans="1:3">
      <c r="A20" s="4">
        <v>17</v>
      </c>
      <c r="B20" s="4" t="s">
        <v>69</v>
      </c>
      <c r="C20" s="6" t="s">
        <v>70</v>
      </c>
    </row>
  </sheetData>
  <mergeCells count="3">
    <mergeCell ref="A3:B3"/>
    <mergeCell ref="A1:A2"/>
    <mergeCell ref="B1:B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允许修改" rangeCreator="" othersAccessPermission="edit"/>
  </rangeList>
  <rangeList sheetStid="2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myCPU计算</vt:lpstr>
      <vt:lpstr>openla500运行结果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PaulCheung</cp:lastModifiedBy>
  <dcterms:created xsi:type="dcterms:W3CDTF">2018-07-17T10:07:00Z</dcterms:created>
  <dcterms:modified xsi:type="dcterms:W3CDTF">2024-08-02T15:24:24Z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AACE6FB46A1D4F429A9676A8EA786056_13</vt:lpwstr>
  </property>
  <property fmtid="{D5CDD505-2E9C-101B-9397-08002B2CF9AE}" pid="3" name="KSOProductBuildVer">
    <vt:lpwstr>2052-12.1.0.17147</vt:lpwstr>
  </property>
</Properties>
</file>