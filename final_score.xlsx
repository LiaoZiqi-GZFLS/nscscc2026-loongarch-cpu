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yCPU计算" sheetId="1" state="visible" r:id="rId3"/>
    <sheet name="openla500运行结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<sst xmlns="http://schemas.openxmlformats.org/spreadsheetml/2006/main" count="137" uniqueCount="68">
  <si>
    <t xml:space="preserve">队名</t>
  </si>
  <si>
    <t xml:space="preserve">学校</t>
  </si>
  <si>
    <t xml:space="preserve">队员</t>
  </si>
  <si>
    <t xml:space="preserve">指导老师</t>
  </si>
  <si>
    <t xml:space="preserve">一、功能测试分数计算</t>
  </si>
  <si>
    <t xml:space="preserve">myCPU接口类型</t>
  </si>
  <si>
    <t xml:space="preserve">58个功能点通过数</t>
  </si>
  <si>
    <t xml:space="preserve">axi接口</t>
  </si>
  <si>
    <r>
      <rPr>
        <sz val="11"/>
        <color theme="1"/>
        <rFont val="宋体"/>
        <family val="0"/>
        <charset val="134"/>
      </rPr>
      <t xml:space="preserve">注1：AXI</t>
    </r>
    <r>
      <rPr>
        <sz val="11"/>
        <color rgb="FF000000"/>
        <rFont val="宋体"/>
        <family val="0"/>
        <charset val="134"/>
      </rPr>
      <t xml:space="preserve">/58*100</t>
    </r>
    <r>
      <rPr>
        <sz val="11"/>
        <color theme="1"/>
        <rFont val="宋体"/>
        <family val="0"/>
        <charset val="134"/>
      </rPr>
      <t xml:space="preserve">；</t>
    </r>
  </si>
  <si>
    <t xml:space="preserve">注2：AXI接口运算功能点测试的通过指标是：上板时任意切换随机种子，都通过；</t>
  </si>
  <si>
    <r>
      <rPr>
        <sz val="11"/>
        <color theme="1"/>
        <rFont val="宋体"/>
        <family val="0"/>
        <charset val="134"/>
      </rPr>
      <t xml:space="preserve">注3：根据功能测试结果，填写黄色区域，</t>
    </r>
    <r>
      <rPr>
        <b val="true"/>
        <sz val="11"/>
        <color rgb="FFFF0000"/>
        <rFont val="宋体"/>
        <family val="0"/>
        <charset val="134"/>
      </rPr>
      <t xml:space="preserve">不要更改单元格格式；</t>
    </r>
  </si>
  <si>
    <t xml:space="preserve">注4：右侧红色部分自动计算功能得分；</t>
  </si>
  <si>
    <t xml:space="preserve">功能分</t>
  </si>
  <si>
    <t xml:space="preserve">二、性能测试分数计算</t>
  </si>
  <si>
    <t xml:space="preserve">序号</t>
  </si>
  <si>
    <t xml:space="preserve">测试程序</t>
  </si>
  <si>
    <t xml:space="preserve">myCPU</t>
  </si>
  <si>
    <t xml:space="preserve">openla500</t>
  </si>
  <si>
    <r>
      <rPr>
        <sz val="11"/>
        <color theme="1"/>
        <rFont val="宋体"/>
        <family val="0"/>
        <charset val="134"/>
      </rPr>
      <t xml:space="preserve">IPC</t>
    </r>
    <r>
      <rPr>
        <vertAlign val="subscript"/>
        <sz val="11"/>
        <color rgb="FF000000"/>
        <rFont val="宋体"/>
        <family val="0"/>
        <charset val="134"/>
      </rPr>
      <t xml:space="preserve">openla500</t>
    </r>
    <r>
      <rPr>
        <sz val="11"/>
        <color theme="1"/>
        <rFont val="宋体"/>
        <family val="0"/>
        <charset val="134"/>
      </rPr>
      <t xml:space="preserve">/IPC</t>
    </r>
    <r>
      <rPr>
        <vertAlign val="subscript"/>
        <sz val="11"/>
        <color rgb="FF000000"/>
        <rFont val="宋体"/>
        <family val="0"/>
        <charset val="134"/>
      </rPr>
      <t xml:space="preserve">mycpu</t>
    </r>
  </si>
  <si>
    <t xml:space="preserve">性能分</t>
  </si>
  <si>
    <r>
      <rPr>
        <b val="true"/>
        <sz val="11"/>
        <color rgb="FF000000"/>
        <rFont val="宋体"/>
        <family val="0"/>
        <charset val="134"/>
      </rPr>
      <t xml:space="preserve">上板计时</t>
    </r>
    <r>
      <rPr>
        <b val="true"/>
        <sz val="11"/>
        <color rgb="FF000000"/>
        <rFont val="Times New Roman"/>
        <family val="1"/>
        <charset val="1"/>
      </rPr>
      <t xml:space="preserve">(16</t>
    </r>
    <r>
      <rPr>
        <b val="true"/>
        <sz val="11"/>
        <color rgb="FF000000"/>
        <rFont val="宋体"/>
        <family val="0"/>
        <charset val="134"/>
      </rPr>
      <t xml:space="preserve">进制</t>
    </r>
    <r>
      <rPr>
        <b val="true"/>
        <sz val="11"/>
        <color rgb="FF000000"/>
        <rFont val="Times New Roman"/>
        <family val="1"/>
        <charset val="1"/>
      </rPr>
      <t xml:space="preserve">)</t>
    </r>
  </si>
  <si>
    <t xml:space="preserve">CPU count
 : SoC cout
</t>
  </si>
  <si>
    <r>
      <rPr>
        <b val="true"/>
        <sz val="11"/>
        <color rgb="FF000000"/>
        <rFont val="宋体"/>
        <family val="0"/>
        <charset val="134"/>
      </rPr>
      <t xml:space="preserve">上板</t>
    </r>
    <r>
      <rPr>
        <b val="true"/>
        <sz val="11"/>
        <color rgb="FF000000"/>
        <rFont val="Times New Roman"/>
        <family val="1"/>
        <charset val="1"/>
      </rPr>
      <t xml:space="preserve">(16</t>
    </r>
    <r>
      <rPr>
        <b val="true"/>
        <sz val="11"/>
        <color rgb="FF000000"/>
        <rFont val="宋体"/>
        <family val="0"/>
        <charset val="134"/>
      </rPr>
      <t xml:space="preserve">进制</t>
    </r>
    <r>
      <rPr>
        <b val="true"/>
        <sz val="11"/>
        <color rgb="FF000000"/>
        <rFont val="Times New Roman"/>
        <family val="1"/>
        <charset val="1"/>
      </rPr>
      <t xml:space="preserve">)</t>
    </r>
  </si>
  <si>
    <t xml:space="preserve">CPU频率（MHz）</t>
  </si>
  <si>
    <t xml:space="preserve">数码管显示
(CPU count)
(最左开关拨下)</t>
  </si>
  <si>
    <t xml:space="preserve">数码管显示
(SoC count)
(最左开关拨上)</t>
  </si>
  <si>
    <t xml:space="preserve">cpu_clk : sys_clk</t>
  </si>
  <si>
    <t xml:space="preserve">xxMHz : 100MHz</t>
  </si>
  <si>
    <t xml:space="preserve">-</t>
  </si>
  <si>
    <t xml:space="preserve">33MHz : 100MHz</t>
  </si>
  <si>
    <t xml:space="preserve">bitcount</t>
  </si>
  <si>
    <t xml:space="preserve">0</t>
  </si>
  <si>
    <t xml:space="preserve">bubble_sort</t>
  </si>
  <si>
    <t xml:space="preserve">coremark</t>
  </si>
  <si>
    <t xml:space="preserve">crc32</t>
  </si>
  <si>
    <t xml:space="preserve">dhrystone</t>
  </si>
  <si>
    <t xml:space="preserve">quick_sort</t>
  </si>
  <si>
    <t xml:space="preserve">select_sort</t>
  </si>
  <si>
    <t xml:space="preserve">sha</t>
  </si>
  <si>
    <t xml:space="preserve">stream_copy</t>
  </si>
  <si>
    <t xml:space="preserve">stringsearch</t>
  </si>
  <si>
    <t xml:space="preserve">fireye_A0</t>
  </si>
  <si>
    <t xml:space="preserve">fireye_B2</t>
  </si>
  <si>
    <t xml:space="preserve">fireye_C0</t>
  </si>
  <si>
    <t xml:space="preserve">fireye_D1</t>
  </si>
  <si>
    <t xml:space="preserve">fireye_I2</t>
  </si>
  <si>
    <t xml:space="preserve">inner_product</t>
  </si>
  <si>
    <t xml:space="preserve">lookup_table</t>
  </si>
  <si>
    <t xml:space="preserve">loop_induction</t>
  </si>
  <si>
    <t xml:space="preserve">my_memcmp</t>
  </si>
  <si>
    <t xml:space="preserve">minmax_sequence</t>
  </si>
  <si>
    <t xml:space="preserve">三、系统测试分数计算</t>
  </si>
  <si>
    <t xml:space="preserve">完成系统测试点</t>
  </si>
  <si>
    <r>
      <rPr>
        <b val="true"/>
        <sz val="9"/>
        <color theme="1"/>
        <rFont val="宋体"/>
        <family val="0"/>
        <charset val="134"/>
      </rPr>
      <t xml:space="preserve">完成状态序号（只选完成的最大序号，</t>
    </r>
    <r>
      <rPr>
        <b val="true"/>
        <sz val="9"/>
        <color rgb="FFFF0000"/>
        <rFont val="宋体"/>
        <family val="0"/>
        <charset val="134"/>
      </rPr>
      <t xml:space="preserve">左侧红色标识</t>
    </r>
    <r>
      <rPr>
        <b val="true"/>
        <sz val="9"/>
        <color theme="1"/>
        <rFont val="宋体"/>
        <family val="0"/>
        <charset val="134"/>
      </rPr>
      <t xml:space="preserve">）</t>
    </r>
  </si>
  <si>
    <r>
      <rPr>
        <b val="true"/>
        <sz val="11"/>
        <color rgb="FFFF0000"/>
        <rFont val="宋体"/>
        <family val="0"/>
        <charset val="134"/>
      </rPr>
      <t xml:space="preserve">0</t>
    </r>
    <r>
      <rPr>
        <b val="true"/>
        <sz val="11"/>
        <color rgb="FF000000"/>
        <rFont val="宋体"/>
        <family val="0"/>
        <charset val="134"/>
      </rPr>
      <t xml:space="preserve">、未成功启动任一项</t>
    </r>
  </si>
  <si>
    <r>
      <rPr>
        <b val="true"/>
        <sz val="11"/>
        <color rgb="FFFF0000"/>
        <rFont val="宋体"/>
        <family val="0"/>
        <charset val="134"/>
      </rPr>
      <t xml:space="preserve">1</t>
    </r>
    <r>
      <rPr>
        <b val="true"/>
        <sz val="11"/>
        <color rgb="FF000000"/>
        <rFont val="宋体"/>
        <family val="0"/>
        <charset val="134"/>
      </rPr>
      <t xml:space="preserve">、成功启动典型 bootloader（如 U-Boot、PMON）并完成指定功能操作</t>
    </r>
  </si>
  <si>
    <r>
      <rPr>
        <b val="true"/>
        <sz val="11"/>
        <color rgb="FFFF0000"/>
        <rFont val="宋体"/>
        <family val="0"/>
        <charset val="134"/>
      </rPr>
      <t xml:space="preserve">2</t>
    </r>
    <r>
      <rPr>
        <b val="true"/>
        <sz val="11"/>
        <color rgb="FF000000"/>
        <rFont val="宋体"/>
        <family val="0"/>
        <charset val="134"/>
      </rPr>
      <t xml:space="preserve">、成功启动典型教学操作系统（如 ucore）</t>
    </r>
  </si>
  <si>
    <r>
      <rPr>
        <b val="true"/>
        <sz val="11"/>
        <color rgb="FFFF0000"/>
        <rFont val="宋体"/>
        <family val="0"/>
        <charset val="134"/>
      </rPr>
      <t xml:space="preserve">3</t>
    </r>
    <r>
      <rPr>
        <b val="true"/>
        <sz val="11"/>
        <color rgb="FF000000"/>
        <rFont val="宋体"/>
        <family val="0"/>
        <charset val="134"/>
      </rPr>
      <t xml:space="preserve">、成功启动 Linux 操作系统</t>
    </r>
  </si>
  <si>
    <r>
      <rPr>
        <b val="true"/>
        <sz val="11"/>
        <color rgb="FFFF0000"/>
        <rFont val="宋体"/>
        <family val="0"/>
        <charset val="134"/>
      </rPr>
      <t xml:space="preserve">4</t>
    </r>
    <r>
      <rPr>
        <b val="true"/>
        <sz val="11"/>
        <color rgb="FF000000"/>
        <rFont val="宋体"/>
        <family val="0"/>
        <charset val="134"/>
      </rPr>
      <t xml:space="preserve">、成功启动 Linux 操作系统，并成功运行"ls"命令</t>
    </r>
  </si>
  <si>
    <r>
      <rPr>
        <sz val="11"/>
        <color theme="1"/>
        <rFont val="宋体"/>
        <family val="0"/>
        <charset val="134"/>
      </rPr>
      <t xml:space="preserve">注1：根据myCPU运行时间填写黄色区域，</t>
    </r>
    <r>
      <rPr>
        <b val="true"/>
        <sz val="11"/>
        <color rgb="FFFF0000"/>
        <rFont val="宋体"/>
        <family val="0"/>
        <charset val="134"/>
      </rPr>
      <t xml:space="preserve">不要更改单元格格式，</t>
    </r>
    <r>
      <rPr>
        <sz val="11"/>
        <color rgb="FF000000"/>
        <rFont val="宋体"/>
        <family val="0"/>
        <charset val="134"/>
      </rPr>
      <t xml:space="preserve">填写格式为16进制数，分别填写：上板cpu_clk与sys_clk的频率，上板计时；</t>
    </r>
  </si>
  <si>
    <t xml:space="preserve">注2：表格中计时结果为上板时性能测试通过时的数码管显示。</t>
  </si>
  <si>
    <t xml:space="preserve">注3：如果某性能测试程序不通过，则对应仿真计时和上板计时项填为0，此时该项与openla500比值按0.1算，最终预赛评分时可能会调整；</t>
  </si>
  <si>
    <t xml:space="preserve">注4：灰色部分为固定项，不可修改；</t>
  </si>
  <si>
    <t xml:space="preserve">注5：橙色部分为自动计算，不可修改；</t>
  </si>
  <si>
    <t xml:space="preserve">注6：红色部分自动计算性能得分。</t>
  </si>
  <si>
    <t xml:space="preserve">CPU count : SoC count
（≈cpu_clk : sys_clk）</t>
  </si>
  <si>
    <t xml:space="preserve">数码管显示(CPU count)</t>
  </si>
  <si>
    <t xml:space="preserve">数码管显示(SoC count)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</si>
</sst>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_ "/>
    <numFmt numFmtId="167" formatCode="0.000_ "/>
    <numFmt numFmtId="168" formatCode="General"/>
  </numFmts>
  <fonts count="1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0"/>
      <charset val="134"/>
    </font>
    <font>
      <sz val="14"/>
      <name val="仿宋"/>
      <family val="0"/>
      <charset val="134"/>
    </font>
    <font>
      <b val="true"/>
      <sz val="14"/>
      <color theme="1"/>
      <name val="宋体"/>
      <family val="0"/>
      <charset val="134"/>
    </font>
    <font>
      <sz val="10"/>
      <name val="Times New Roman"/>
      <family val="1"/>
      <charset val="1"/>
    </font>
    <font>
      <sz val="11"/>
      <color rgb="FF000000"/>
      <name val="宋体"/>
      <family val="0"/>
      <charset val="134"/>
    </font>
    <font>
      <b val="true"/>
      <sz val="11"/>
      <color rgb="FFFF0000"/>
      <name val="宋体"/>
      <family val="0"/>
      <charset val="134"/>
    </font>
    <font>
      <b val="true"/>
      <sz val="11"/>
      <color theme="1"/>
      <name val="宋体"/>
      <family val="0"/>
      <charset val="134"/>
    </font>
    <font>
      <vertAlign val="subscript"/>
      <sz val="11"/>
      <color rgb="FF000000"/>
      <name val="宋体"/>
      <family val="0"/>
      <charset val="134"/>
    </font>
    <font>
      <b val="true"/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color theme="1"/>
      <name val="宋体"/>
      <family val="0"/>
      <charset val="134"/>
    </font>
    <font>
      <b val="true"/>
      <sz val="9"/>
      <color theme="1"/>
      <name val="宋体"/>
      <family val="0"/>
      <charset val="134"/>
    </font>
    <font>
      <b val="true"/>
      <sz val="9"/>
      <color rgb="FFFF0000"/>
      <name val="宋体"/>
      <family val="0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5"/>
        <bgColor rgb="FFFCD5B5"/>
      </patternFill>
    </fill>
    <fill>
      <patternFill patternType="solid">
        <fgColor rgb="FFFFFF66"/>
        <bgColor rgb="FFFFFF00"/>
      </patternFill>
    </fill>
    <fill>
      <patternFill patternType="solid">
        <fgColor rgb="FFFF5050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theme="9" tint="0.5999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505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55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J18" activeCellId="0" sqref="J18"/>
    </sheetView>
  </sheetViews>
  <sheetFormatPr defaultColWidth="9.00390625" defaultRowHeight="21.75" zeroHeight="false" outlineLevelRow="0" outlineLevelCol="0"/>
  <cols>
    <col collapsed="false" customWidth="true" hidden="false" outlineLevel="0" max="1" min="1" style="1" width="5.12"/>
    <col collapsed="false" customWidth="true" hidden="false" outlineLevel="0" max="2" min="2" style="1" width="14.25"/>
    <col collapsed="false" customWidth="true" hidden="false" outlineLevel="0" max="3" min="3" style="1" width="18.75"/>
    <col collapsed="false" customWidth="true" hidden="false" outlineLevel="0" max="4" min="4" style="1" width="35.62"/>
    <col collapsed="false" customWidth="true" hidden="false" outlineLevel="0" max="5" min="5" style="1" width="27"/>
    <col collapsed="false" customWidth="true" hidden="false" outlineLevel="0" max="6" min="6" style="1" width="17.75"/>
    <col collapsed="false" customWidth="true" hidden="false" outlineLevel="0" max="7" min="7" style="1" width="17.51"/>
    <col collapsed="false" customWidth="true" hidden="false" outlineLevel="0" max="8" min="8" style="1" width="18.37"/>
    <col collapsed="false" customWidth="true" hidden="false" outlineLevel="0" max="9" min="9" style="1" width="3.12"/>
    <col collapsed="false" customWidth="true" hidden="false" outlineLevel="0" max="10" min="10" style="1" width="20.51"/>
    <col collapsed="false" customWidth="true" hidden="false" outlineLevel="0" max="11" min="11" style="1" width="16.63"/>
    <col collapsed="false" customWidth="false" hidden="false" outlineLevel="0" max="16384" min="12" style="1" width="9"/>
  </cols>
  <sheetData>
    <row r="2" s="5" customFormat="true" ht="21.75" hidden="false" customHeight="true" outlineLevel="0" collapsed="false">
      <c r="A2" s="1"/>
      <c r="B2" s="2" t="s">
        <v>0</v>
      </c>
      <c r="C2" s="3"/>
      <c r="D2" s="3"/>
      <c r="E2" s="2" t="s">
        <v>1</v>
      </c>
      <c r="F2" s="4"/>
      <c r="G2" s="4"/>
    </row>
    <row r="3" s="5" customFormat="true" ht="21.75" hidden="false" customHeight="true" outlineLevel="0" collapsed="false">
      <c r="A3" s="1"/>
      <c r="B3" s="2" t="s">
        <v>2</v>
      </c>
      <c r="C3" s="3"/>
      <c r="D3" s="3"/>
      <c r="E3" s="2" t="s">
        <v>3</v>
      </c>
      <c r="F3" s="3"/>
      <c r="G3" s="3"/>
    </row>
    <row r="4" s="5" customFormat="true" ht="21.75" hidden="false" customHeight="true" outlineLevel="0" collapsed="false">
      <c r="A4" s="1"/>
      <c r="B4" s="6"/>
      <c r="C4" s="7"/>
      <c r="D4" s="7"/>
      <c r="E4" s="7"/>
      <c r="F4" s="7"/>
      <c r="G4" s="6"/>
      <c r="H4" s="7"/>
      <c r="I4" s="7"/>
    </row>
    <row r="5" s="8" customFormat="true" ht="21.75" hidden="false" customHeight="true" outlineLevel="0" collapsed="false">
      <c r="A5" s="8" t="s">
        <v>4</v>
      </c>
    </row>
    <row r="7" customFormat="false" ht="36" hidden="false" customHeight="true" outlineLevel="0" collapsed="false">
      <c r="B7" s="2" t="s">
        <v>5</v>
      </c>
      <c r="C7" s="2" t="s">
        <v>6</v>
      </c>
    </row>
    <row r="8" customFormat="false" ht="21.75" hidden="false" customHeight="true" outlineLevel="0" collapsed="false">
      <c r="B8" s="2" t="s">
        <v>7</v>
      </c>
      <c r="C8" s="9" t="n">
        <v>0</v>
      </c>
    </row>
    <row r="10" customFormat="false" ht="21.75" hidden="false" customHeight="true" outlineLevel="0" collapsed="false">
      <c r="A10" s="1" t="s">
        <v>8</v>
      </c>
    </row>
    <row r="11" customFormat="false" ht="21.75" hidden="false" customHeight="true" outlineLevel="0" collapsed="false">
      <c r="A11" s="1" t="s">
        <v>9</v>
      </c>
    </row>
    <row r="12" customFormat="false" ht="21.75" hidden="false" customHeight="true" outlineLevel="0" collapsed="false">
      <c r="A12" s="1" t="s">
        <v>10</v>
      </c>
      <c r="B12" s="10"/>
      <c r="C12" s="10"/>
      <c r="D12" s="10"/>
      <c r="E12" s="10"/>
      <c r="F12" s="10"/>
      <c r="G12" s="10"/>
      <c r="H12" s="10"/>
    </row>
    <row r="13" customFormat="false" ht="21.75" hidden="false" customHeight="true" outlineLevel="0" collapsed="false">
      <c r="A13" s="1" t="s">
        <v>11</v>
      </c>
      <c r="B13" s="10"/>
      <c r="C13" s="10"/>
      <c r="D13" s="10"/>
      <c r="E13" s="10"/>
      <c r="F13" s="10"/>
      <c r="G13" s="10"/>
      <c r="H13" s="10"/>
    </row>
    <row r="14" customFormat="false" ht="21.75" hidden="false" customHeight="true" outlineLevel="0" collapsed="false">
      <c r="J14" s="11" t="s">
        <v>12</v>
      </c>
      <c r="K14" s="12" t="n">
        <f aca="false">C8/58*100</f>
        <v>0</v>
      </c>
    </row>
    <row r="15" s="8" customFormat="true" ht="21.75" hidden="false" customHeight="true" outlineLevel="0" collapsed="false">
      <c r="A15" s="8" t="s">
        <v>13</v>
      </c>
    </row>
    <row r="16" customFormat="false" ht="21.75" hidden="false" customHeight="true" outlineLevel="0" collapsed="false">
      <c r="B16" s="13"/>
      <c r="C16" s="13"/>
      <c r="D16" s="13"/>
      <c r="E16" s="13"/>
      <c r="F16" s="13"/>
      <c r="G16" s="13"/>
      <c r="H16" s="13"/>
      <c r="N16" s="14"/>
    </row>
    <row r="17" customFormat="false" ht="30" hidden="false" customHeight="true" outlineLevel="0" collapsed="false">
      <c r="B17" s="2" t="s">
        <v>14</v>
      </c>
      <c r="C17" s="2" t="s">
        <v>15</v>
      </c>
      <c r="D17" s="15" t="s">
        <v>16</v>
      </c>
      <c r="E17" s="15"/>
      <c r="F17" s="15"/>
      <c r="G17" s="15" t="s">
        <v>17</v>
      </c>
      <c r="H17" s="16" t="s">
        <v>18</v>
      </c>
      <c r="J17" s="11" t="s">
        <v>19</v>
      </c>
      <c r="K17" s="12" t="n">
        <f aca="false">GEOMEAN(H21:H40)</f>
        <v>0.0001</v>
      </c>
    </row>
    <row r="18" customFormat="false" ht="30" hidden="false" customHeight="true" outlineLevel="0" collapsed="false">
      <c r="B18" s="2"/>
      <c r="C18" s="2"/>
      <c r="D18" s="2" t="s">
        <v>20</v>
      </c>
      <c r="E18" s="2"/>
      <c r="F18" s="2" t="s">
        <v>21</v>
      </c>
      <c r="G18" s="2" t="s">
        <v>22</v>
      </c>
      <c r="H18" s="16"/>
      <c r="J18" s="11" t="s">
        <v>23</v>
      </c>
      <c r="K18" s="17"/>
    </row>
    <row r="19" customFormat="false" ht="48" hidden="false" customHeight="true" outlineLevel="0" collapsed="false">
      <c r="B19" s="2"/>
      <c r="C19" s="2"/>
      <c r="D19" s="18" t="s">
        <v>24</v>
      </c>
      <c r="E19" s="18" t="s">
        <v>25</v>
      </c>
      <c r="F19" s="2"/>
      <c r="G19" s="18" t="s">
        <v>24</v>
      </c>
      <c r="H19" s="16"/>
    </row>
    <row r="20" customFormat="false" ht="30" hidden="false" customHeight="true" outlineLevel="0" collapsed="false">
      <c r="B20" s="19" t="s">
        <v>26</v>
      </c>
      <c r="C20" s="19"/>
      <c r="D20" s="20" t="s">
        <v>27</v>
      </c>
      <c r="E20" s="20"/>
      <c r="F20" s="21" t="s">
        <v>28</v>
      </c>
      <c r="G20" s="22" t="s">
        <v>29</v>
      </c>
      <c r="H20" s="23" t="s">
        <v>28</v>
      </c>
    </row>
    <row r="21" customFormat="false" ht="30" hidden="false" customHeight="true" outlineLevel="0" collapsed="false">
      <c r="B21" s="19" t="n">
        <v>1</v>
      </c>
      <c r="C21" s="19" t="s">
        <v>30</v>
      </c>
      <c r="D21" s="24" t="s">
        <v>31</v>
      </c>
      <c r="E21" s="24" t="s">
        <v>31</v>
      </c>
      <c r="F21" s="21" t="n">
        <f aca="false">IF(HEX2DEC(D21),HEX2DEC(D21)/HEX2DEC(E21),0)</f>
        <v>0</v>
      </c>
      <c r="G21" s="21" t="n">
        <v>343640</v>
      </c>
      <c r="H21" s="25" t="n">
        <f aca="false">IF(HEX2DEC(D21),HEX2DEC(G21)/HEX2DEC(D21),0.0001)</f>
        <v>0.0001</v>
      </c>
    </row>
    <row r="22" customFormat="false" ht="30" hidden="false" customHeight="true" outlineLevel="0" collapsed="false">
      <c r="B22" s="19" t="n">
        <v>2</v>
      </c>
      <c r="C22" s="19" t="s">
        <v>32</v>
      </c>
      <c r="D22" s="24" t="s">
        <v>31</v>
      </c>
      <c r="E22" s="24" t="s">
        <v>31</v>
      </c>
      <c r="F22" s="21" t="n">
        <f aca="false">IF(HEX2DEC(D22),HEX2DEC(D22)/HEX2DEC(E22),0)</f>
        <v>0</v>
      </c>
      <c r="G22" s="21" t="n">
        <v>1599254</v>
      </c>
      <c r="H22" s="25" t="n">
        <f aca="false">IF(HEX2DEC(D22),HEX2DEC(G22)/HEX2DEC(D22),0.0001)</f>
        <v>0.0001</v>
      </c>
    </row>
    <row r="23" customFormat="false" ht="30" hidden="false" customHeight="true" outlineLevel="0" collapsed="false">
      <c r="B23" s="19" t="n">
        <v>3</v>
      </c>
      <c r="C23" s="19" t="s">
        <v>33</v>
      </c>
      <c r="D23" s="24" t="s">
        <v>31</v>
      </c>
      <c r="E23" s="24" t="s">
        <v>31</v>
      </c>
      <c r="F23" s="21" t="n">
        <f aca="false">IF(HEX2DEC(D23),HEX2DEC(D23)/HEX2DEC(E23),0)</f>
        <v>0</v>
      </c>
      <c r="G23" s="21" t="n">
        <v>4130786</v>
      </c>
      <c r="H23" s="25" t="n">
        <f aca="false">IF(HEX2DEC(D23),HEX2DEC(G23)/HEX2DEC(D23),0.0001)</f>
        <v>0.0001</v>
      </c>
    </row>
    <row r="24" customFormat="false" ht="30" hidden="false" customHeight="true" outlineLevel="0" collapsed="false">
      <c r="B24" s="19" t="n">
        <v>4</v>
      </c>
      <c r="C24" s="19" t="s">
        <v>34</v>
      </c>
      <c r="D24" s="24" t="s">
        <v>31</v>
      </c>
      <c r="E24" s="24" t="s">
        <v>31</v>
      </c>
      <c r="F24" s="21" t="n">
        <f aca="false">IF(HEX2DEC(D24),HEX2DEC(D24)/HEX2DEC(E24),0)</f>
        <v>0</v>
      </c>
      <c r="G24" s="21" t="n">
        <v>2583293</v>
      </c>
      <c r="H24" s="25" t="n">
        <f aca="false">IF(HEX2DEC(D24),HEX2DEC(G24)/HEX2DEC(D24),0.0001)</f>
        <v>0.0001</v>
      </c>
    </row>
    <row r="25" customFormat="false" ht="30" hidden="false" customHeight="true" outlineLevel="0" collapsed="false">
      <c r="B25" s="19" t="n">
        <v>5</v>
      </c>
      <c r="C25" s="19" t="s">
        <v>35</v>
      </c>
      <c r="D25" s="24" t="s">
        <v>31</v>
      </c>
      <c r="E25" s="24" t="s">
        <v>31</v>
      </c>
      <c r="F25" s="21" t="n">
        <f aca="false">IF(HEX2DEC(D25),HEX2DEC(D25)/HEX2DEC(E25),0)</f>
        <v>0</v>
      </c>
      <c r="G25" s="21" t="n">
        <v>46601</v>
      </c>
      <c r="H25" s="25" t="n">
        <f aca="false">IF(HEX2DEC(D25),HEX2DEC(G25)/HEX2DEC(D25),0.0001)</f>
        <v>0.0001</v>
      </c>
    </row>
    <row r="26" customFormat="false" ht="30" hidden="false" customHeight="true" outlineLevel="0" collapsed="false">
      <c r="B26" s="19" t="n">
        <v>6</v>
      </c>
      <c r="C26" s="19" t="s">
        <v>36</v>
      </c>
      <c r="D26" s="24" t="s">
        <v>31</v>
      </c>
      <c r="E26" s="24" t="s">
        <v>31</v>
      </c>
      <c r="F26" s="21" t="n">
        <f aca="false">IF(HEX2DEC(D26),HEX2DEC(D26)/HEX2DEC(E26),0)</f>
        <v>0</v>
      </c>
      <c r="G26" s="21" t="n">
        <v>1969534</v>
      </c>
      <c r="H26" s="25" t="n">
        <f aca="false">IF(HEX2DEC(D26),HEX2DEC(G26)/HEX2DEC(D26),0.0001)</f>
        <v>0.0001</v>
      </c>
    </row>
    <row r="27" customFormat="false" ht="30" hidden="false" customHeight="true" outlineLevel="0" collapsed="false">
      <c r="B27" s="19" t="n">
        <v>7</v>
      </c>
      <c r="C27" s="19" t="s">
        <v>37</v>
      </c>
      <c r="D27" s="24" t="s">
        <v>31</v>
      </c>
      <c r="E27" s="24" t="s">
        <v>31</v>
      </c>
      <c r="F27" s="21" t="n">
        <f aca="false">IF(HEX2DEC(D27),HEX2DEC(D27)/HEX2DEC(E27),0)</f>
        <v>0</v>
      </c>
      <c r="G27" s="21" t="n">
        <v>1041006</v>
      </c>
      <c r="H27" s="25" t="n">
        <f aca="false">IF(HEX2DEC(D27),HEX2DEC(G27)/HEX2DEC(D27),0.0001)</f>
        <v>0.0001</v>
      </c>
    </row>
    <row r="28" customFormat="false" ht="30" hidden="false" customHeight="true" outlineLevel="0" collapsed="false">
      <c r="B28" s="19" t="n">
        <v>8</v>
      </c>
      <c r="C28" s="19" t="s">
        <v>38</v>
      </c>
      <c r="D28" s="24" t="s">
        <v>31</v>
      </c>
      <c r="E28" s="24" t="s">
        <v>31</v>
      </c>
      <c r="F28" s="21" t="n">
        <f aca="false">IF(HEX2DEC(D28),HEX2DEC(D28)/HEX2DEC(E28),0)</f>
        <v>0</v>
      </c>
      <c r="G28" s="21" t="n">
        <v>2190475</v>
      </c>
      <c r="H28" s="25" t="n">
        <f aca="false">IF(HEX2DEC(D28),HEX2DEC(G28)/HEX2DEC(D28),0.0001)</f>
        <v>0.0001</v>
      </c>
    </row>
    <row r="29" customFormat="false" ht="30" hidden="false" customHeight="true" outlineLevel="0" collapsed="false">
      <c r="B29" s="19" t="n">
        <v>9</v>
      </c>
      <c r="C29" s="19" t="s">
        <v>39</v>
      </c>
      <c r="D29" s="24" t="s">
        <v>31</v>
      </c>
      <c r="E29" s="24" t="s">
        <v>31</v>
      </c>
      <c r="F29" s="21" t="n">
        <f aca="false">IF(HEX2DEC(D29),HEX2DEC(D29)/HEX2DEC(E29),0)</f>
        <v>0</v>
      </c>
      <c r="G29" s="21" t="n">
        <v>130647</v>
      </c>
      <c r="H29" s="25" t="n">
        <f aca="false">IF(HEX2DEC(D29),HEX2DEC(G29)/HEX2DEC(D29),0.0001)</f>
        <v>0.0001</v>
      </c>
    </row>
    <row r="30" customFormat="false" ht="30" hidden="false" customHeight="true" outlineLevel="0" collapsed="false">
      <c r="B30" s="19" t="n">
        <v>10</v>
      </c>
      <c r="C30" s="19" t="s">
        <v>40</v>
      </c>
      <c r="D30" s="24" t="s">
        <v>31</v>
      </c>
      <c r="E30" s="24" t="s">
        <v>31</v>
      </c>
      <c r="F30" s="21" t="n">
        <f aca="false">IF(HEX2DEC(D30),HEX2DEC(D30)/HEX2DEC(E30),0)</f>
        <v>0</v>
      </c>
      <c r="G30" s="21" t="n">
        <v>581771</v>
      </c>
      <c r="H30" s="25" t="n">
        <f aca="false">IF(HEX2DEC(D30),HEX2DEC(G30)/HEX2DEC(D30),0.0001)</f>
        <v>0.0001</v>
      </c>
    </row>
    <row r="31" customFormat="false" ht="30" hidden="false" customHeight="true" outlineLevel="0" collapsed="false">
      <c r="B31" s="19" t="n">
        <v>11</v>
      </c>
      <c r="C31" s="19" t="s">
        <v>41</v>
      </c>
      <c r="D31" s="24" t="s">
        <v>31</v>
      </c>
      <c r="E31" s="24" t="s">
        <v>31</v>
      </c>
      <c r="F31" s="21" t="n">
        <f aca="false">IF(HEX2DEC(D31),HEX2DEC(D31)/HEX2DEC(E31),0)</f>
        <v>0</v>
      </c>
      <c r="G31" s="21" t="n">
        <v>4240749</v>
      </c>
      <c r="H31" s="25" t="n">
        <f aca="false">IF(HEX2DEC(D31),HEX2DEC(G31)/HEX2DEC(D31),0.0001)</f>
        <v>0.0001</v>
      </c>
    </row>
    <row r="32" customFormat="false" ht="30" hidden="false" customHeight="true" outlineLevel="0" collapsed="false">
      <c r="B32" s="19" t="n">
        <v>12</v>
      </c>
      <c r="C32" s="19" t="s">
        <v>42</v>
      </c>
      <c r="D32" s="24" t="s">
        <v>31</v>
      </c>
      <c r="E32" s="24" t="s">
        <v>31</v>
      </c>
      <c r="F32" s="21" t="n">
        <f aca="false">IF(HEX2DEC(D32),HEX2DEC(D32)/HEX2DEC(E32),0)</f>
        <v>0</v>
      </c>
      <c r="G32" s="21" t="n">
        <v>545430</v>
      </c>
      <c r="H32" s="25" t="n">
        <f aca="false">IF(HEX2DEC(D32),HEX2DEC(G32)/HEX2DEC(D32),0.0001)</f>
        <v>0.0001</v>
      </c>
    </row>
    <row r="33" customFormat="false" ht="30" hidden="false" customHeight="true" outlineLevel="0" collapsed="false">
      <c r="B33" s="19" t="n">
        <v>13</v>
      </c>
      <c r="C33" s="19" t="s">
        <v>43</v>
      </c>
      <c r="D33" s="24" t="s">
        <v>31</v>
      </c>
      <c r="E33" s="24" t="s">
        <v>31</v>
      </c>
      <c r="F33" s="21" t="n">
        <f aca="false">IF(HEX2DEC(D33),HEX2DEC(D33)/HEX2DEC(E33),0)</f>
        <v>0</v>
      </c>
      <c r="G33" s="21" t="n">
        <v>676520</v>
      </c>
      <c r="H33" s="25" t="n">
        <f aca="false">IF(HEX2DEC(D33),HEX2DEC(G33)/HEX2DEC(D33),0.0001)</f>
        <v>0.0001</v>
      </c>
    </row>
    <row r="34" customFormat="false" ht="30" hidden="false" customHeight="true" outlineLevel="0" collapsed="false">
      <c r="B34" s="19" t="n">
        <v>14</v>
      </c>
      <c r="C34" s="19" t="s">
        <v>44</v>
      </c>
      <c r="D34" s="24" t="s">
        <v>31</v>
      </c>
      <c r="E34" s="24" t="s">
        <v>31</v>
      </c>
      <c r="F34" s="21" t="n">
        <f aca="false">IF(HEX2DEC(D34),HEX2DEC(D34)/HEX2DEC(E34),0)</f>
        <v>0</v>
      </c>
      <c r="G34" s="21" t="n">
        <v>6038605</v>
      </c>
      <c r="H34" s="25" t="n">
        <f aca="false">IF(HEX2DEC(D34),HEX2DEC(G34)/HEX2DEC(D34),0.0001)</f>
        <v>0.0001</v>
      </c>
    </row>
    <row r="35" customFormat="false" ht="30" hidden="false" customHeight="true" outlineLevel="0" collapsed="false">
      <c r="B35" s="19" t="n">
        <v>15</v>
      </c>
      <c r="C35" s="19" t="s">
        <v>45</v>
      </c>
      <c r="D35" s="24" t="s">
        <v>31</v>
      </c>
      <c r="E35" s="24" t="s">
        <v>31</v>
      </c>
      <c r="F35" s="21" t="n">
        <f aca="false">IF(HEX2DEC(D35),HEX2DEC(D35)/HEX2DEC(E35),0)</f>
        <v>0</v>
      </c>
      <c r="G35" s="21" t="n">
        <v>3906531</v>
      </c>
      <c r="H35" s="25" t="n">
        <f aca="false">IF(HEX2DEC(D35),HEX2DEC(G35)/HEX2DEC(D35),0.0001)</f>
        <v>0.0001</v>
      </c>
    </row>
    <row r="36" customFormat="false" ht="30" hidden="false" customHeight="true" outlineLevel="0" collapsed="false">
      <c r="B36" s="19" t="n">
        <v>16</v>
      </c>
      <c r="C36" s="19" t="s">
        <v>46</v>
      </c>
      <c r="D36" s="24" t="s">
        <v>31</v>
      </c>
      <c r="E36" s="24" t="s">
        <v>31</v>
      </c>
      <c r="F36" s="21" t="n">
        <f aca="false">IF(HEX2DEC(D36),HEX2DEC(D36)/HEX2DEC(E36),0)</f>
        <v>0</v>
      </c>
      <c r="G36" s="21" t="n">
        <v>16232737</v>
      </c>
      <c r="H36" s="25" t="n">
        <f aca="false">IF(HEX2DEC(D36),HEX2DEC(G36)/HEX2DEC(D36),0.0001)</f>
        <v>0.0001</v>
      </c>
    </row>
    <row r="37" customFormat="false" ht="30" hidden="false" customHeight="true" outlineLevel="0" collapsed="false">
      <c r="B37" s="19" t="n">
        <v>17</v>
      </c>
      <c r="C37" s="19" t="s">
        <v>47</v>
      </c>
      <c r="D37" s="24" t="s">
        <v>31</v>
      </c>
      <c r="E37" s="24" t="s">
        <v>31</v>
      </c>
      <c r="F37" s="21" t="n">
        <f aca="false">IF(HEX2DEC(D37),HEX2DEC(D37)/HEX2DEC(E37),0)</f>
        <v>0</v>
      </c>
      <c r="G37" s="21" t="n">
        <v>2958023</v>
      </c>
      <c r="H37" s="25" t="n">
        <f aca="false">IF(HEX2DEC(D37),HEX2DEC(G37)/HEX2DEC(D37),0.0001)</f>
        <v>0.0001</v>
      </c>
    </row>
    <row r="38" customFormat="false" ht="30" hidden="false" customHeight="true" outlineLevel="0" collapsed="false">
      <c r="B38" s="19" t="n">
        <v>18</v>
      </c>
      <c r="C38" s="19" t="s">
        <v>48</v>
      </c>
      <c r="D38" s="24" t="s">
        <v>31</v>
      </c>
      <c r="E38" s="24" t="s">
        <v>31</v>
      </c>
      <c r="F38" s="21" t="n">
        <f aca="false">IF(HEX2DEC(D38),HEX2DEC(D38)/HEX2DEC(E38),0)</f>
        <v>0</v>
      </c>
      <c r="G38" s="21" t="n">
        <v>11084756</v>
      </c>
      <c r="H38" s="25" t="n">
        <f aca="false">IF(HEX2DEC(D38),HEX2DEC(G38)/HEX2DEC(D38),0.0001)</f>
        <v>0.0001</v>
      </c>
    </row>
    <row r="39" customFormat="false" ht="30" hidden="false" customHeight="true" outlineLevel="0" collapsed="false">
      <c r="B39" s="19" t="n">
        <v>19</v>
      </c>
      <c r="C39" s="19" t="s">
        <v>49</v>
      </c>
      <c r="D39" s="24" t="s">
        <v>31</v>
      </c>
      <c r="E39" s="24" t="s">
        <v>31</v>
      </c>
      <c r="F39" s="21" t="n">
        <f aca="false">IF(HEX2DEC(D39),HEX2DEC(D39)/HEX2DEC(E39),0)</f>
        <v>0</v>
      </c>
      <c r="G39" s="21" t="n">
        <v>3395161</v>
      </c>
      <c r="H39" s="25" t="n">
        <f aca="false">IF(HEX2DEC(D39),HEX2DEC(G39)/HEX2DEC(D39),0.0001)</f>
        <v>0.0001</v>
      </c>
    </row>
    <row r="40" customFormat="false" ht="30" hidden="false" customHeight="true" outlineLevel="0" collapsed="false">
      <c r="B40" s="19" t="n">
        <v>20</v>
      </c>
      <c r="C40" s="19" t="s">
        <v>50</v>
      </c>
      <c r="D40" s="24" t="s">
        <v>31</v>
      </c>
      <c r="E40" s="24" t="s">
        <v>31</v>
      </c>
      <c r="F40" s="21" t="n">
        <f aca="false">IF(HEX2DEC(D40),HEX2DEC(D40)/HEX2DEC(E40),0)</f>
        <v>0</v>
      </c>
      <c r="G40" s="21" t="n">
        <v>3942826</v>
      </c>
      <c r="H40" s="25" t="n">
        <f aca="false">IF(HEX2DEC(D40),HEX2DEC(G40)/HEX2DEC(D40),0.0001)</f>
        <v>0.0001</v>
      </c>
    </row>
    <row r="42" customFormat="false" ht="21.75" hidden="false" customHeight="true" outlineLevel="0" collapsed="false">
      <c r="A42" s="8" t="s">
        <v>51</v>
      </c>
    </row>
    <row r="43" customFormat="false" ht="21.75" hidden="false" customHeight="true" outlineLevel="0" collapsed="false">
      <c r="A43" s="8"/>
    </row>
    <row r="44" customFormat="false" ht="43.5" hidden="false" customHeight="true" outlineLevel="0" collapsed="false">
      <c r="B44" s="2" t="s">
        <v>52</v>
      </c>
      <c r="C44" s="2"/>
      <c r="D44" s="2"/>
      <c r="E44" s="26" t="s">
        <v>53</v>
      </c>
      <c r="F44" s="26"/>
      <c r="G44" s="10"/>
      <c r="H44" s="10"/>
    </row>
    <row r="45" customFormat="false" ht="21.75" hidden="false" customHeight="true" outlineLevel="0" collapsed="false">
      <c r="B45" s="27" t="s">
        <v>54</v>
      </c>
      <c r="C45" s="27"/>
      <c r="D45" s="27"/>
      <c r="E45" s="28" t="n">
        <v>0</v>
      </c>
      <c r="F45" s="28"/>
      <c r="G45" s="10"/>
      <c r="H45" s="10"/>
    </row>
    <row r="46" customFormat="false" ht="30" hidden="false" customHeight="true" outlineLevel="0" collapsed="false">
      <c r="B46" s="27" t="s">
        <v>55</v>
      </c>
      <c r="C46" s="27"/>
      <c r="D46" s="27"/>
      <c r="E46" s="28"/>
      <c r="F46" s="28"/>
      <c r="G46" s="10"/>
      <c r="H46" s="10"/>
    </row>
    <row r="47" customFormat="false" ht="21.75" hidden="false" customHeight="true" outlineLevel="0" collapsed="false">
      <c r="B47" s="27" t="s">
        <v>56</v>
      </c>
      <c r="C47" s="27"/>
      <c r="D47" s="27"/>
      <c r="E47" s="28"/>
      <c r="F47" s="28"/>
      <c r="G47" s="10"/>
      <c r="H47" s="10"/>
    </row>
    <row r="48" customFormat="false" ht="21.75" hidden="false" customHeight="true" outlineLevel="0" collapsed="false">
      <c r="B48" s="27" t="s">
        <v>57</v>
      </c>
      <c r="C48" s="27"/>
      <c r="D48" s="27"/>
      <c r="E48" s="28"/>
      <c r="F48" s="28"/>
      <c r="G48" s="10"/>
      <c r="H48" s="10"/>
    </row>
    <row r="49" customFormat="false" ht="21.75" hidden="false" customHeight="true" outlineLevel="0" collapsed="false">
      <c r="B49" s="27" t="s">
        <v>58</v>
      </c>
      <c r="C49" s="27"/>
      <c r="D49" s="27"/>
      <c r="E49" s="28"/>
      <c r="F49" s="28"/>
      <c r="G49" s="10"/>
      <c r="H49" s="10"/>
    </row>
    <row r="50" customFormat="false" ht="21.75" hidden="false" customHeight="true" outlineLevel="0" collapsed="false">
      <c r="A50" s="1" t="s">
        <v>59</v>
      </c>
      <c r="B50" s="10"/>
      <c r="C50" s="10"/>
      <c r="D50" s="10"/>
      <c r="E50" s="10"/>
      <c r="F50" s="10"/>
      <c r="G50" s="10"/>
      <c r="H50" s="10"/>
    </row>
    <row r="51" customFormat="false" ht="21.75" hidden="false" customHeight="true" outlineLevel="0" collapsed="false">
      <c r="A51" s="29" t="s">
        <v>60</v>
      </c>
      <c r="B51" s="10"/>
      <c r="C51" s="10"/>
      <c r="D51" s="10"/>
      <c r="E51" s="10"/>
      <c r="F51" s="10"/>
      <c r="G51" s="10"/>
      <c r="H51" s="10"/>
    </row>
    <row r="52" customFormat="false" ht="21.75" hidden="false" customHeight="true" outlineLevel="0" collapsed="false">
      <c r="A52" s="29" t="s">
        <v>61</v>
      </c>
      <c r="B52" s="10"/>
      <c r="C52" s="10"/>
      <c r="D52" s="10"/>
      <c r="E52" s="10"/>
      <c r="F52" s="10"/>
      <c r="G52" s="10"/>
      <c r="H52" s="10"/>
    </row>
    <row r="53" customFormat="false" ht="21.75" hidden="false" customHeight="true" outlineLevel="0" collapsed="false">
      <c r="A53" s="1" t="s">
        <v>62</v>
      </c>
      <c r="B53" s="10"/>
      <c r="C53" s="10"/>
      <c r="D53" s="10"/>
      <c r="E53" s="10"/>
      <c r="F53" s="10"/>
      <c r="G53" s="10"/>
      <c r="H53" s="10"/>
    </row>
    <row r="54" customFormat="false" ht="21.75" hidden="false" customHeight="true" outlineLevel="0" collapsed="false">
      <c r="A54" s="1" t="s">
        <v>63</v>
      </c>
      <c r="B54" s="10"/>
      <c r="C54" s="10"/>
      <c r="D54" s="10"/>
      <c r="E54" s="10"/>
      <c r="F54" s="10"/>
      <c r="G54" s="10"/>
      <c r="H54" s="10"/>
    </row>
    <row r="55" customFormat="false" ht="21.75" hidden="false" customHeight="true" outlineLevel="0" collapsed="false">
      <c r="A55" s="1" t="s">
        <v>64</v>
      </c>
      <c r="B55" s="10"/>
      <c r="C55" s="10"/>
      <c r="D55" s="10"/>
      <c r="E55" s="10"/>
      <c r="F55" s="10"/>
      <c r="G55" s="10"/>
      <c r="H55" s="10"/>
    </row>
  </sheetData>
  <sheetProtection algorithmName="SHA-512" hashValue="FokfN492+i32Q0c0M+zU/rcGkAYZppr/YIwmZbAbQOBzrp0FAtbF/29bJnVqK5VH+7P8nyzAaUh6jZGSEnlm6A==" saltValue="UU3jYivebWaINDxCsowpPw==" spinCount="100000" sheet="true" objects="true" scenarios="true"/>
  <protectedRanges>
    <protectedRange name="允许修改" securityDescriptor="O:WDG:WDD:" sqref="F2:G3 C2:D3 C8 D20:E40 E45 K18"/>
  </protectedRanges>
  <mergeCells count="21">
    <mergeCell ref="C2:D2"/>
    <mergeCell ref="F2:G2"/>
    <mergeCell ref="C3:D3"/>
    <mergeCell ref="F3:G3"/>
    <mergeCell ref="B16:H16"/>
    <mergeCell ref="B17:B19"/>
    <mergeCell ref="C17:C19"/>
    <mergeCell ref="D17:F17"/>
    <mergeCell ref="H17:H19"/>
    <mergeCell ref="D18:E18"/>
    <mergeCell ref="F18:F19"/>
    <mergeCell ref="B20:C20"/>
    <mergeCell ref="D20:E20"/>
    <mergeCell ref="B44:D44"/>
    <mergeCell ref="E44:F44"/>
    <mergeCell ref="B45:D45"/>
    <mergeCell ref="E45:F49"/>
    <mergeCell ref="B46:D46"/>
    <mergeCell ref="B47:D47"/>
    <mergeCell ref="B48:D48"/>
    <mergeCell ref="B49:D49"/>
  </mergeCells>
  <dataValidations count="5">
    <dataValidation allowBlank="true" error="0~58；&#10;此项为58，则SRAM接口项一定要是0；&#10;此项为1~57，则SRAM接口项一定要是58；&#10;此项为0，则SRAM接口项可填任意。" errorStyle="stop" errorTitle="输入无效" operator="between" prompt="0~58；" promptTitle="AXI接口通过数" showDropDown="false" showErrorMessage="true" showInputMessage="true" sqref="C8 C46" type="whole">
      <formula1>0</formula1>
      <formula2>58</formula2>
    </dataValidation>
    <dataValidation allowBlank="true" errorStyle="stop" operator="between" prompt="0~89" promptTitle="AXI接口通过数" showDropDown="false" showErrorMessage="true" showInputMessage="true" sqref="C9" type="whole">
      <formula1>0</formula1>
      <formula2>89</formula2>
    </dataValidation>
    <dataValidation allowBlank="true" errorStyle="stop" operator="between" prompt="格式为:XX MHz : 100MHz&#10;XX MHz为myCPU上板频率，timer_clk必须为100MHz" promptTitle="上板频率" showDropDown="false" showErrorMessage="true" showInputMessage="true" sqref="D20:F20" type="none">
      <formula1>0</formula1>
      <formula2>0</formula2>
    </dataValidation>
    <dataValidation allowBlank="true" errorStyle="stop" operator="between" prompt="要求为16进制数。&#10;如结果为0x144FF46，则填写144FF46。&#10;如果某一性能测试未通过，则填写0" promptTitle="输入计时结果" showDropDown="false" showErrorMessage="true" showInputMessage="true" sqref="D21:E40" type="none">
      <formula1>0</formula1>
      <formula2>0</formula2>
    </dataValidation>
    <dataValidation allowBlank="true" errorStyle="stop" operator="between" showDropDown="false" showErrorMessage="true" showInputMessage="true" sqref="E45:F49" type="whole">
      <formula1>0</formula1>
      <formula2>4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6" activeCellId="0" sqref="D6"/>
    </sheetView>
  </sheetViews>
  <sheetFormatPr defaultColWidth="15.75" defaultRowHeight="30" zeroHeight="false" outlineLevelRow="0" outlineLevelCol="0"/>
  <cols>
    <col collapsed="false" customWidth="true" hidden="false" outlineLevel="0" max="1" min="1" style="5" width="9.12"/>
    <col collapsed="false" customWidth="true" hidden="false" outlineLevel="0" max="2" min="2" style="5" width="14.51"/>
    <col collapsed="false" customWidth="true" hidden="false" outlineLevel="0" max="3" min="3" style="30" width="22.25"/>
    <col collapsed="false" customWidth="true" hidden="false" outlineLevel="0" max="4" min="4" style="5" width="22.25"/>
  </cols>
  <sheetData>
    <row r="1" customFormat="false" ht="30" hidden="false" customHeight="true" outlineLevel="0" collapsed="false">
      <c r="A1" s="2" t="s">
        <v>14</v>
      </c>
      <c r="B1" s="2" t="s">
        <v>15</v>
      </c>
      <c r="C1" s="18" t="s">
        <v>22</v>
      </c>
      <c r="D1" s="18" t="s">
        <v>22</v>
      </c>
      <c r="E1" s="2" t="s">
        <v>65</v>
      </c>
    </row>
    <row r="2" customFormat="false" ht="30" hidden="false" customHeight="true" outlineLevel="0" collapsed="false">
      <c r="A2" s="2"/>
      <c r="B2" s="2"/>
      <c r="C2" s="18" t="s">
        <v>66</v>
      </c>
      <c r="D2" s="18" t="s">
        <v>67</v>
      </c>
      <c r="E2" s="2"/>
    </row>
    <row r="3" customFormat="false" ht="30" hidden="false" customHeight="true" outlineLevel="0" collapsed="false">
      <c r="A3" s="19" t="s">
        <v>26</v>
      </c>
      <c r="B3" s="19"/>
      <c r="C3" s="21" t="s">
        <v>29</v>
      </c>
      <c r="D3" s="21" t="s">
        <v>29</v>
      </c>
      <c r="E3" s="22" t="s">
        <v>29</v>
      </c>
    </row>
    <row r="4" customFormat="false" ht="30" hidden="false" customHeight="true" outlineLevel="0" collapsed="false">
      <c r="A4" s="19" t="n">
        <v>1</v>
      </c>
      <c r="B4" s="19" t="s">
        <v>30</v>
      </c>
      <c r="C4" s="21" t="n">
        <v>343640</v>
      </c>
      <c r="D4" s="21" t="n">
        <v>1051297</v>
      </c>
      <c r="E4" s="22" t="n">
        <f aca="false">IF(HEX2DEC(C4),HEX2DEC(C4)/HEX2DEC(D4),0)</f>
        <v>0.199990005643013</v>
      </c>
    </row>
    <row r="5" customFormat="false" ht="30" hidden="false" customHeight="true" outlineLevel="0" collapsed="false">
      <c r="A5" s="19" t="n">
        <v>2</v>
      </c>
      <c r="B5" s="19" t="s">
        <v>32</v>
      </c>
      <c r="C5" s="21" t="n">
        <v>1599254</v>
      </c>
      <c r="D5" s="21" t="n">
        <v>4888318</v>
      </c>
      <c r="E5" s="22" t="n">
        <f aca="false">IF(HEX2DEC(C5),HEX2DEC(C5)/HEX2DEC(D5),0)</f>
        <v>0.297775093182173</v>
      </c>
    </row>
    <row r="6" customFormat="false" ht="30" hidden="false" customHeight="true" outlineLevel="0" collapsed="false">
      <c r="A6" s="19" t="n">
        <v>3</v>
      </c>
      <c r="B6" s="19" t="s">
        <v>33</v>
      </c>
      <c r="C6" s="21" t="n">
        <v>4130786</v>
      </c>
      <c r="D6" s="21" t="n">
        <v>12625378</v>
      </c>
      <c r="E6" s="22" t="n">
        <f aca="false">IF(HEX2DEC(C6),HEX2DEC(C6)/HEX2DEC(D6),0)</f>
        <v>0.221622849201241</v>
      </c>
    </row>
    <row r="7" customFormat="false" ht="30" hidden="false" customHeight="true" outlineLevel="0" collapsed="false">
      <c r="A7" s="19" t="n">
        <v>4</v>
      </c>
      <c r="B7" s="19" t="s">
        <v>34</v>
      </c>
      <c r="C7" s="21" t="n">
        <v>2583293</v>
      </c>
      <c r="D7" s="21" t="n">
        <v>7915229</v>
      </c>
      <c r="E7" s="22" t="n">
        <f aca="false">IF(HEX2DEC(C7),HEX2DEC(C7)/HEX2DEC(D7),0)</f>
        <v>0.30980801566488</v>
      </c>
    </row>
    <row r="8" customFormat="false" ht="30" hidden="false" customHeight="true" outlineLevel="0" collapsed="false">
      <c r="A8" s="19" t="n">
        <v>5</v>
      </c>
      <c r="B8" s="19" t="s">
        <v>35</v>
      </c>
      <c r="C8" s="21" t="n">
        <v>46601</v>
      </c>
      <c r="D8" s="21" t="n">
        <v>144543</v>
      </c>
      <c r="E8" s="22" t="n">
        <f aca="false">IF(HEX2DEC(C8),HEX2DEC(C8)/HEX2DEC(D8),0)</f>
        <v>0.216987303257704</v>
      </c>
    </row>
    <row r="9" customFormat="false" ht="30" hidden="false" customHeight="true" outlineLevel="0" collapsed="false">
      <c r="A9" s="19" t="n">
        <v>6</v>
      </c>
      <c r="B9" s="19" t="s">
        <v>36</v>
      </c>
      <c r="C9" s="21" t="n">
        <v>1969534</v>
      </c>
      <c r="D9" s="21" t="n">
        <v>6021174</v>
      </c>
      <c r="E9" s="22" t="n">
        <f aca="false">IF(HEX2DEC(C9),HEX2DEC(C9)/HEX2DEC(D9),0)</f>
        <v>0.264346425587692</v>
      </c>
    </row>
    <row r="10" customFormat="false" ht="30" hidden="false" customHeight="true" outlineLevel="0" collapsed="false">
      <c r="A10" s="19" t="n">
        <v>7</v>
      </c>
      <c r="B10" s="19" t="s">
        <v>37</v>
      </c>
      <c r="C10" s="21" t="n">
        <v>1041006</v>
      </c>
      <c r="D10" s="21" t="n">
        <v>3182355</v>
      </c>
      <c r="E10" s="22" t="n">
        <f aca="false">IF(HEX2DEC(C10),HEX2DEC(C10)/HEX2DEC(D10),0)</f>
        <v>0.328304646895993</v>
      </c>
    </row>
    <row r="11" customFormat="false" ht="30" hidden="false" customHeight="true" outlineLevel="0" collapsed="false">
      <c r="A11" s="19" t="n">
        <v>8</v>
      </c>
      <c r="B11" s="19" t="s">
        <v>38</v>
      </c>
      <c r="C11" s="21" t="n">
        <v>2190475</v>
      </c>
      <c r="D11" s="21" t="n">
        <v>6720475</v>
      </c>
      <c r="E11" s="22" t="n">
        <f aca="false">IF(HEX2DEC(C11),HEX2DEC(C11)/HEX2DEC(D11),0)</f>
        <v>0.325461662969809</v>
      </c>
    </row>
    <row r="12" customFormat="false" ht="30" hidden="false" customHeight="true" outlineLevel="0" collapsed="false">
      <c r="A12" s="19" t="n">
        <v>9</v>
      </c>
      <c r="B12" s="19" t="s">
        <v>39</v>
      </c>
      <c r="C12" s="21" t="n">
        <v>130647</v>
      </c>
      <c r="D12" s="21" t="n">
        <v>401411</v>
      </c>
      <c r="E12" s="22" t="n">
        <f aca="false">IF(HEX2DEC(C12),HEX2DEC(C12)/HEX2DEC(D12),0)</f>
        <v>0.296894515246196</v>
      </c>
    </row>
    <row r="13" customFormat="false" ht="30" hidden="false" customHeight="true" outlineLevel="0" collapsed="false">
      <c r="A13" s="19" t="n">
        <v>10</v>
      </c>
      <c r="B13" s="19" t="s">
        <v>40</v>
      </c>
      <c r="C13" s="21" t="n">
        <v>581771</v>
      </c>
      <c r="D13" s="21" t="n">
        <v>1798925</v>
      </c>
      <c r="E13" s="22" t="n">
        <f aca="false">IF(HEX2DEC(C13),HEX2DEC(C13)/HEX2DEC(D13),0)</f>
        <v>0.233333067929622</v>
      </c>
    </row>
    <row r="14" customFormat="false" ht="30" hidden="false" customHeight="true" outlineLevel="0" collapsed="false">
      <c r="A14" s="19" t="n">
        <v>11</v>
      </c>
      <c r="B14" s="19" t="s">
        <v>41</v>
      </c>
      <c r="C14" s="21" t="n">
        <v>4240749</v>
      </c>
      <c r="D14" s="21" t="n">
        <v>12960010</v>
      </c>
      <c r="E14" s="22" t="n">
        <f aca="false">IF(HEX2DEC(C14),HEX2DEC(C14)/HEX2DEC(D14),0)</f>
        <v>0.222788651376595</v>
      </c>
    </row>
    <row r="15" customFormat="false" ht="30" hidden="false" customHeight="true" outlineLevel="0" collapsed="false">
      <c r="A15" s="19" t="n">
        <v>12</v>
      </c>
      <c r="B15" s="19" t="s">
        <v>42</v>
      </c>
      <c r="C15" s="21" t="n">
        <v>545430</v>
      </c>
      <c r="D15" s="21" t="n">
        <v>1668123</v>
      </c>
      <c r="E15" s="22" t="n">
        <f aca="false">IF(HEX2DEC(C15),HEX2DEC(C15)/HEX2DEC(D15),0)</f>
        <v>0.235224024978648</v>
      </c>
    </row>
    <row r="16" customFormat="false" ht="30" hidden="false" customHeight="true" outlineLevel="0" collapsed="false">
      <c r="A16" s="19" t="n">
        <v>13</v>
      </c>
      <c r="B16" s="19" t="s">
        <v>43</v>
      </c>
      <c r="C16" s="21" t="n">
        <v>676520</v>
      </c>
      <c r="D16" s="21" t="n">
        <v>2069036</v>
      </c>
      <c r="E16" s="22" t="n">
        <f aca="false">IF(HEX2DEC(C16),HEX2DEC(C16)/HEX2DEC(D16),0)</f>
        <v>0.19938745135071</v>
      </c>
    </row>
    <row r="17" customFormat="false" ht="30" hidden="false" customHeight="true" outlineLevel="0" collapsed="false">
      <c r="A17" s="19" t="n">
        <v>14</v>
      </c>
      <c r="B17" s="19" t="s">
        <v>44</v>
      </c>
      <c r="C17" s="21" t="n">
        <v>6038605</v>
      </c>
      <c r="D17" s="21" t="n">
        <v>18453597</v>
      </c>
      <c r="E17" s="22" t="n">
        <f aca="false">IF(HEX2DEC(C17),HEX2DEC(C17)/HEX2DEC(D17),0)</f>
        <v>0.247782334491855</v>
      </c>
    </row>
    <row r="18" customFormat="false" ht="30" hidden="false" customHeight="true" outlineLevel="0" collapsed="false">
      <c r="A18" s="19" t="n">
        <v>15</v>
      </c>
      <c r="B18" s="19" t="s">
        <v>45</v>
      </c>
      <c r="C18" s="21" t="n">
        <v>3906531</v>
      </c>
      <c r="D18" s="21" t="n">
        <v>11938942</v>
      </c>
      <c r="E18" s="22" t="n">
        <f aca="false">IF(HEX2DEC(C18),HEX2DEC(C18)/HEX2DEC(D18),0)</f>
        <v>0.202775407466757</v>
      </c>
    </row>
    <row r="19" customFormat="false" ht="30" hidden="false" customHeight="true" outlineLevel="0" collapsed="false">
      <c r="A19" s="19" t="n">
        <v>16</v>
      </c>
      <c r="B19" s="19" t="s">
        <v>46</v>
      </c>
      <c r="C19" s="21" t="n">
        <v>16232737</v>
      </c>
      <c r="D19" s="21" t="n">
        <v>49602569</v>
      </c>
      <c r="E19" s="22" t="n">
        <f aca="false">IF(HEX2DEC(C19),HEX2DEC(C19)/HEX2DEC(D19),0)</f>
        <v>0.301698738006503</v>
      </c>
    </row>
    <row r="20" customFormat="false" ht="30" hidden="false" customHeight="true" outlineLevel="0" collapsed="false">
      <c r="A20" s="19" t="n">
        <v>17</v>
      </c>
      <c r="B20" s="19" t="s">
        <v>47</v>
      </c>
      <c r="C20" s="21" t="n">
        <v>2958023</v>
      </c>
      <c r="D20" s="21" t="n">
        <v>9041960</v>
      </c>
      <c r="E20" s="22" t="n">
        <f aca="false">IF(HEX2DEC(C20),HEX2DEC(C20)/HEX2DEC(D20),0)</f>
        <v>0.286599707964079</v>
      </c>
    </row>
    <row r="21" customFormat="false" ht="30" hidden="false" customHeight="true" outlineLevel="0" collapsed="false">
      <c r="A21" s="19" t="n">
        <v>18</v>
      </c>
      <c r="B21" s="19" t="s">
        <v>48</v>
      </c>
      <c r="C21" s="21" t="n">
        <v>11084756</v>
      </c>
      <c r="D21" s="21" t="n">
        <v>33873009</v>
      </c>
      <c r="E21" s="22" t="n">
        <f aca="false">IF(HEX2DEC(C21),HEX2DEC(C21)/HEX2DEC(D21),0)</f>
        <v>0.330544813392459</v>
      </c>
    </row>
    <row r="22" customFormat="false" ht="30" hidden="false" customHeight="true" outlineLevel="0" collapsed="false">
      <c r="A22" s="19" t="n">
        <v>19</v>
      </c>
      <c r="B22" s="19" t="s">
        <v>49</v>
      </c>
      <c r="C22" s="21" t="n">
        <v>3395161</v>
      </c>
      <c r="D22" s="21" t="n">
        <v>10376199</v>
      </c>
      <c r="E22" s="22" t="n">
        <f aca="false">IF(HEX2DEC(C22),HEX2DEC(C22)/HEX2DEC(D22),0)</f>
        <v>0.1988056115474</v>
      </c>
    </row>
    <row r="23" customFormat="false" ht="30" hidden="false" customHeight="true" outlineLevel="0" collapsed="false">
      <c r="A23" s="19" t="n">
        <v>20</v>
      </c>
      <c r="B23" s="19" t="s">
        <v>50</v>
      </c>
      <c r="C23" s="21" t="n">
        <v>3942826</v>
      </c>
      <c r="D23" s="21" t="n">
        <v>12050280</v>
      </c>
      <c r="E23" s="22" t="n">
        <f aca="false">IF(HEX2DEC(C23),HEX2DEC(C23)/HEX2DEC(D23),0)</f>
        <v>0.198602837709332</v>
      </c>
    </row>
  </sheetData>
  <sheetProtection algorithmName="SHA-512" hashValue="S7s670hiR9AQ4dnigNk4ftLl9QHc+lOnslynfIDtDcTUsHeSa3iZ0goCh3YdN3JN/efiUD+sm0QJRtBhJYXNTA==" saltValue="BCRBP/rHpe0mmBNaXcVwtQ==" spinCount="100000" sheet="true" objects="true" scenarios="true"/>
  <mergeCells count="4">
    <mergeCell ref="A1:A2"/>
    <mergeCell ref="B1:B2"/>
    <mergeCell ref="E1:E2"/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允许修改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2018-07-17T10:07:00Z</dcterms:created>
  <dc:creator>Windows 用户</dc:creator>
  <dc:description/>
  <dc:language>en-US</dc:language>
  <cp:lastModifiedBy/>
  <dcterms:modified xsi:type="dcterms:W3CDTF">2026-07-29T23:56:32Z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E915BC56016640D994EFB204B62F3DC8_13</vt:lpwstr>
  </property>
  <property fmtid="{D5CDD505-2E9C-101B-9397-08002B2CF9AE}" pid="3" name="KSOProductBuildVer">
    <vt:lpwstr>2052-12.1.0.21915</vt:lpwstr>
  </property>
</Properties>
</file>